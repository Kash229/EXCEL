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0AA3BEA1-EAD9-41B9-BF11-2A4AFD4190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spital_Data" sheetId="1" r:id="rId1"/>
    <sheet name="Logical Functions" sheetId="2" r:id="rId2"/>
    <sheet name="Pivot Table" sheetId="3" r:id="rId3"/>
  </sheets>
  <calcPr calcId="191029"/>
  <pivotCaches>
    <pivotCache cacheId="12" r:id="rId4"/>
  </pivotCaches>
</workbook>
</file>

<file path=xl/calcChain.xml><?xml version="1.0" encoding="utf-8"?>
<calcChain xmlns="http://schemas.openxmlformats.org/spreadsheetml/2006/main">
  <c r="M19" i="2" l="1"/>
  <c r="M14" i="2"/>
  <c r="M9" i="2"/>
  <c r="M4" i="2"/>
  <c r="M26" i="2"/>
</calcChain>
</file>

<file path=xl/sharedStrings.xml><?xml version="1.0" encoding="utf-8"?>
<sst xmlns="http://schemas.openxmlformats.org/spreadsheetml/2006/main" count="872" uniqueCount="164">
  <si>
    <t>Patient_ID</t>
  </si>
  <si>
    <t>Patient_Name</t>
  </si>
  <si>
    <t>Gender</t>
  </si>
  <si>
    <t>Age</t>
  </si>
  <si>
    <t>Department</t>
  </si>
  <si>
    <t>Doctor</t>
  </si>
  <si>
    <t>Ward</t>
  </si>
  <si>
    <t>Admission_Date</t>
  </si>
  <si>
    <t>Bill_Amount</t>
  </si>
  <si>
    <t>Payment_Status</t>
  </si>
  <si>
    <t>P001</t>
  </si>
  <si>
    <t>Sneha Iyer</t>
  </si>
  <si>
    <t>Female</t>
  </si>
  <si>
    <t>Cardiology</t>
  </si>
  <si>
    <t>Dr. Mehta</t>
  </si>
  <si>
    <t>Ward B</t>
  </si>
  <si>
    <t>2026-03-03</t>
  </si>
  <si>
    <t>Pending</t>
  </si>
  <si>
    <t>P002</t>
  </si>
  <si>
    <t>Priya Verma</t>
  </si>
  <si>
    <t>Pediatrics</t>
  </si>
  <si>
    <t>Dr. Khan</t>
  </si>
  <si>
    <t>2026-01-08</t>
  </si>
  <si>
    <t>P003</t>
  </si>
  <si>
    <t>Rahul Verma</t>
  </si>
  <si>
    <t>Dr. Patel</t>
  </si>
  <si>
    <t>Ward C</t>
  </si>
  <si>
    <t>2026-02-16</t>
  </si>
  <si>
    <t>P004</t>
  </si>
  <si>
    <t>Karan Das</t>
  </si>
  <si>
    <t>Male</t>
  </si>
  <si>
    <t>2026-01-09</t>
  </si>
  <si>
    <t>P005</t>
  </si>
  <si>
    <t>Amit Verma</t>
  </si>
  <si>
    <t>Orthopedics</t>
  </si>
  <si>
    <t>ICU</t>
  </si>
  <si>
    <t>2026-03-24</t>
  </si>
  <si>
    <t>P006</t>
  </si>
  <si>
    <t>Rahul Iyer</t>
  </si>
  <si>
    <t>General</t>
  </si>
  <si>
    <t>Dr. Singh</t>
  </si>
  <si>
    <t>2026-01-29</t>
  </si>
  <si>
    <t>Paid</t>
  </si>
  <si>
    <t>P007</t>
  </si>
  <si>
    <t>Pooja Das</t>
  </si>
  <si>
    <t>2026-02-07</t>
  </si>
  <si>
    <t>P008</t>
  </si>
  <si>
    <t>Rahul Das</t>
  </si>
  <si>
    <t>Dr. Sharma</t>
  </si>
  <si>
    <t>2026-03-27</t>
  </si>
  <si>
    <t>P009</t>
  </si>
  <si>
    <t>Neurology</t>
  </si>
  <si>
    <t>2026-03-09</t>
  </si>
  <si>
    <t>P010</t>
  </si>
  <si>
    <t>Karan Verma</t>
  </si>
  <si>
    <t>2026-02-25</t>
  </si>
  <si>
    <t>P011</t>
  </si>
  <si>
    <t>Priya Das</t>
  </si>
  <si>
    <t>2026-03-25</t>
  </si>
  <si>
    <t>P012</t>
  </si>
  <si>
    <t>Arjun Verma</t>
  </si>
  <si>
    <t>2026-02-06</t>
  </si>
  <si>
    <t>P013</t>
  </si>
  <si>
    <t>Riya Das</t>
  </si>
  <si>
    <t>Ward A</t>
  </si>
  <si>
    <t>2026-01-01</t>
  </si>
  <si>
    <t>P014</t>
  </si>
  <si>
    <t>Neha Shah</t>
  </si>
  <si>
    <t>2026-03-01</t>
  </si>
  <si>
    <t>P015</t>
  </si>
  <si>
    <t>Amit Patel</t>
  </si>
  <si>
    <t>2026-02-14</t>
  </si>
  <si>
    <t>P016</t>
  </si>
  <si>
    <t>Vikas Shah</t>
  </si>
  <si>
    <t>2026-03-18</t>
  </si>
  <si>
    <t>P017</t>
  </si>
  <si>
    <t>Sneha Shah</t>
  </si>
  <si>
    <t>2026-02-03</t>
  </si>
  <si>
    <t>P018</t>
  </si>
  <si>
    <t>2026-02-23</t>
  </si>
  <si>
    <t>P019</t>
  </si>
  <si>
    <t>2026-03-08</t>
  </si>
  <si>
    <t>P020</t>
  </si>
  <si>
    <t>Neha Verma</t>
  </si>
  <si>
    <t>2026-01-14</t>
  </si>
  <si>
    <t>P021</t>
  </si>
  <si>
    <t>2026-03-04</t>
  </si>
  <si>
    <t>P022</t>
  </si>
  <si>
    <t>Amit Iyer</t>
  </si>
  <si>
    <t>2026-01-30</t>
  </si>
  <si>
    <t>P023</t>
  </si>
  <si>
    <t>Karan Patel</t>
  </si>
  <si>
    <t>2026-03-10</t>
  </si>
  <si>
    <t>P024</t>
  </si>
  <si>
    <t>Pooja Patel</t>
  </si>
  <si>
    <t>2026-01-13</t>
  </si>
  <si>
    <t>P025</t>
  </si>
  <si>
    <t>2026-03-29</t>
  </si>
  <si>
    <t>P026</t>
  </si>
  <si>
    <t>P027</t>
  </si>
  <si>
    <t>Vikas Das</t>
  </si>
  <si>
    <t>2026-03-02</t>
  </si>
  <si>
    <t>P028</t>
  </si>
  <si>
    <t>P029</t>
  </si>
  <si>
    <t>Priya Iyer</t>
  </si>
  <si>
    <t>P030</t>
  </si>
  <si>
    <t>Vikas Iyer</t>
  </si>
  <si>
    <t>2026-01-21</t>
  </si>
  <si>
    <t>P031</t>
  </si>
  <si>
    <t>Rahul Shah</t>
  </si>
  <si>
    <t>2026-03-30</t>
  </si>
  <si>
    <t>P032</t>
  </si>
  <si>
    <t>2026-03-16</t>
  </si>
  <si>
    <t>P033</t>
  </si>
  <si>
    <t>Neha Patel</t>
  </si>
  <si>
    <t>2026-01-24</t>
  </si>
  <si>
    <t>P034</t>
  </si>
  <si>
    <t>2026-01-02</t>
  </si>
  <si>
    <t>P035</t>
  </si>
  <si>
    <t>P036</t>
  </si>
  <si>
    <t>Pooja Shah</t>
  </si>
  <si>
    <t>2026-01-31</t>
  </si>
  <si>
    <t>P037</t>
  </si>
  <si>
    <t>P038</t>
  </si>
  <si>
    <t>Arjun Patel</t>
  </si>
  <si>
    <t>2026-02-26</t>
  </si>
  <si>
    <t>P039</t>
  </si>
  <si>
    <t>P040</t>
  </si>
  <si>
    <t>2026-02-17</t>
  </si>
  <si>
    <t>P041</t>
  </si>
  <si>
    <t>Priya Patel</t>
  </si>
  <si>
    <t>2026-03-05</t>
  </si>
  <si>
    <t>P042</t>
  </si>
  <si>
    <t>Pooja Iyer</t>
  </si>
  <si>
    <t>P043</t>
  </si>
  <si>
    <t>Riya Shah</t>
  </si>
  <si>
    <t>P044</t>
  </si>
  <si>
    <t>P045</t>
  </si>
  <si>
    <t>Arjun Das</t>
  </si>
  <si>
    <t>P046</t>
  </si>
  <si>
    <t>P047</t>
  </si>
  <si>
    <t>Riya Patel</t>
  </si>
  <si>
    <t>2026-02-19</t>
  </si>
  <si>
    <t>P048</t>
  </si>
  <si>
    <t>P049</t>
  </si>
  <si>
    <t>Sneha Verma</t>
  </si>
  <si>
    <t>2026-01-18</t>
  </si>
  <si>
    <t>P050</t>
  </si>
  <si>
    <t>Rahul Patel</t>
  </si>
  <si>
    <t>COUNT FUNCTION</t>
  </si>
  <si>
    <t>COUNTIF FUNCTION</t>
  </si>
  <si>
    <t>COUNTIFS FUCTION</t>
  </si>
  <si>
    <t>SUMIFS FUCTION</t>
  </si>
  <si>
    <t>VLOOKUP FUNCTION</t>
  </si>
  <si>
    <t>Row Labels</t>
  </si>
  <si>
    <t>Grand Total</t>
  </si>
  <si>
    <t>Column Labels</t>
  </si>
  <si>
    <t>Count of Bills</t>
  </si>
  <si>
    <t>Total Count of Bills</t>
  </si>
  <si>
    <t>Sum of Bills</t>
  </si>
  <si>
    <t>Total Sum of Bills</t>
  </si>
  <si>
    <t>Sum of Age</t>
  </si>
  <si>
    <t>Count of Doctor</t>
  </si>
  <si>
    <t>Sum of Bill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</si>
</sst>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2"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[Hospital_management.xlsx]Pivot Table!PivotTable4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Table'!$G$19:$G$21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'Pivot Table'!$H$19:$H$21</c:f>
              <c:numCache>
                <c:formatCode>General</c:formatCode>
                <c:ptCount val="2"/>
                <c:pt idx="0">
                  <c:v>628698</c:v>
                </c:pt>
                <c:pt idx="1">
                  <c:v>692522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B-47AE-82F4-267092C5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707696"/>
        <c:axId val="1985710096"/>
      </c:barChart>
      <c:catAx>
        <c:axId val="198570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10096"/>
        <c:crosses val="autoZero"/>
        <c:auto val="1"/>
        <c:lblAlgn val="ctr"/>
        <c:lblOffset val="100"/>
        <c:noMultiLvlLbl val="0"/>
      </c:catAx>
      <c:valAx>
        <c:axId val="19857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[Hospital_management.xlsx]Pivot Table!PivotTable1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Table'!$C$1:$C$2</c:f>
              <c:strCache>
                <c:ptCount val="1"/>
                <c:pt idx="0">
                  <c:v>Paid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'Pivot Table'!$B$3:$B$19</c:f>
              <c:multiLvlStrCache>
                <c:ptCount val="10"/>
                <c:lvl>
                  <c:pt idx="0">
                    <c:v>Count of Bills</c:v>
                  </c:pt>
                  <c:pt idx="1">
                    <c:v>Sum of Bills</c:v>
                  </c:pt>
                  <c:pt idx="2">
                    <c:v>Count of Bills</c:v>
                  </c:pt>
                  <c:pt idx="3">
                    <c:v>Sum of Bills</c:v>
                  </c:pt>
                  <c:pt idx="4">
                    <c:v>Count of Bills</c:v>
                  </c:pt>
                  <c:pt idx="5">
                    <c:v>Sum of Bills</c:v>
                  </c:pt>
                  <c:pt idx="6">
                    <c:v>Count of Bills</c:v>
                  </c:pt>
                  <c:pt idx="7">
                    <c:v>Sum of Bills</c:v>
                  </c:pt>
                  <c:pt idx="8">
                    <c:v>Count of Bills</c:v>
                  </c:pt>
                  <c:pt idx="9">
                    <c:v>Sum of Bills</c:v>
                  </c:pt>
                </c:lvl>
                <c:lvl>
                  <c:pt idx="0">
                    <c:v>Dr. Khan</c:v>
                  </c:pt>
                  <c:pt idx="2">
                    <c:v>Dr. Mehta</c:v>
                  </c:pt>
                  <c:pt idx="4">
                    <c:v>Dr. Patel</c:v>
                  </c:pt>
                  <c:pt idx="6">
                    <c:v>Dr. Sharma</c:v>
                  </c:pt>
                  <c:pt idx="8">
                    <c:v>Dr. Singh</c:v>
                  </c:pt>
                </c:lvl>
              </c:multiLvlStrCache>
            </c:multiLvlStrRef>
          </c:cat>
          <c:val>
            <c:numRef>
              <c:f>'Pivot Table'!$C$3:$C$19</c:f>
              <c:numCache>
                <c:formatCode>General</c:formatCode>
                <c:ptCount val="10"/>
                <c:pt idx="0">
                  <c:v>6</c:v>
                </c:pt>
                <c:pt idx="1">
                  <c:v>122315</c:v>
                </c:pt>
                <c:pt idx="2">
                  <c:v>3</c:v>
                </c:pt>
                <c:pt idx="3">
                  <c:v>86081</c:v>
                </c:pt>
                <c:pt idx="4">
                  <c:v>6</c:v>
                </c:pt>
                <c:pt idx="5">
                  <c:v>189417</c:v>
                </c:pt>
                <c:pt idx="6">
                  <c:v>3</c:v>
                </c:pt>
                <c:pt idx="7">
                  <c:v>60239</c:v>
                </c:pt>
                <c:pt idx="8">
                  <c:v>6</c:v>
                </c:pt>
                <c:pt idx="9">
                  <c:v>170646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E-4441-9B43-E729CB68261E}"/>
            </c:ext>
          </c:extLst>
        </c:ser>
        <c:ser>
          <c:idx val="1"/>
          <c:order val="1"/>
          <c:tx>
            <c:strRef>
              <c:f>'Pivot Table'!$D$1:$D$2</c:f>
              <c:strCache>
                <c:ptCount val="1"/>
                <c:pt idx="0">
                  <c:v>Pending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'Pivot Table'!$B$3:$B$19</c:f>
              <c:multiLvlStrCache>
                <c:ptCount val="10"/>
                <c:lvl>
                  <c:pt idx="0">
                    <c:v>Count of Bills</c:v>
                  </c:pt>
                  <c:pt idx="1">
                    <c:v>Sum of Bills</c:v>
                  </c:pt>
                  <c:pt idx="2">
                    <c:v>Count of Bills</c:v>
                  </c:pt>
                  <c:pt idx="3">
                    <c:v>Sum of Bills</c:v>
                  </c:pt>
                  <c:pt idx="4">
                    <c:v>Count of Bills</c:v>
                  </c:pt>
                  <c:pt idx="5">
                    <c:v>Sum of Bills</c:v>
                  </c:pt>
                  <c:pt idx="6">
                    <c:v>Count of Bills</c:v>
                  </c:pt>
                  <c:pt idx="7">
                    <c:v>Sum of Bills</c:v>
                  </c:pt>
                  <c:pt idx="8">
                    <c:v>Count of Bills</c:v>
                  </c:pt>
                  <c:pt idx="9">
                    <c:v>Sum of Bills</c:v>
                  </c:pt>
                </c:lvl>
                <c:lvl>
                  <c:pt idx="0">
                    <c:v>Dr. Khan</c:v>
                  </c:pt>
                  <c:pt idx="2">
                    <c:v>Dr. Mehta</c:v>
                  </c:pt>
                  <c:pt idx="4">
                    <c:v>Dr. Patel</c:v>
                  </c:pt>
                  <c:pt idx="6">
                    <c:v>Dr. Sharma</c:v>
                  </c:pt>
                  <c:pt idx="8">
                    <c:v>Dr. Singh</c:v>
                  </c:pt>
                </c:lvl>
              </c:multiLvlStrCache>
            </c:multiLvlStrRef>
          </c:cat>
          <c:val>
            <c:numRef>
              <c:f>'Pivot Table'!$D$3:$D$19</c:f>
              <c:numCache>
                <c:formatCode>General</c:formatCode>
                <c:ptCount val="10"/>
                <c:pt idx="0">
                  <c:v>5</c:v>
                </c:pt>
                <c:pt idx="1">
                  <c:v>137549</c:v>
                </c:pt>
                <c:pt idx="2">
                  <c:v>6</c:v>
                </c:pt>
                <c:pt idx="3">
                  <c:v>155592</c:v>
                </c:pt>
                <c:pt idx="4">
                  <c:v>4</c:v>
                </c:pt>
                <c:pt idx="5">
                  <c:v>164761</c:v>
                </c:pt>
                <c:pt idx="6">
                  <c:v>3</c:v>
                </c:pt>
                <c:pt idx="7">
                  <c:v>70792</c:v>
                </c:pt>
                <c:pt idx="8">
                  <c:v>8</c:v>
                </c:pt>
                <c:pt idx="9">
                  <c:v>163828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E-4441-9B43-E729CB682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175260</xdr:rowOff>
    </xdr:from>
    <xdr:to>
      <xdr:col>15</xdr:col>
      <xdr:colOff>525780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B3EE9A-AC22-4794-FB24-82A42A4693ED}"/>
            </a:ext>
          </a:extLst>
        </xdr:cNvPr>
        <xdr:cNvSpPr txBox="1"/>
      </xdr:nvSpPr>
      <xdr:spPr>
        <a:xfrm>
          <a:off x="9570720" y="1089660"/>
          <a:ext cx="243078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Count the number of female patient</a:t>
          </a:r>
        </a:p>
      </xdr:txBody>
    </xdr:sp>
    <xdr:clientData/>
  </xdr:twoCellAnchor>
  <xdr:twoCellAnchor>
    <xdr:from>
      <xdr:col>12</xdr:col>
      <xdr:colOff>7620</xdr:colOff>
      <xdr:row>3</xdr:row>
      <xdr:rowOff>160020</xdr:rowOff>
    </xdr:from>
    <xdr:to>
      <xdr:col>17</xdr:col>
      <xdr:colOff>144780</xdr:colOff>
      <xdr:row>4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4EE6AF-10B9-BAF7-1D81-B5414C6A43C5}"/>
            </a:ext>
          </a:extLst>
        </xdr:cNvPr>
        <xdr:cNvSpPr txBox="1"/>
      </xdr:nvSpPr>
      <xdr:spPr>
        <a:xfrm>
          <a:off x="9578340" y="708660"/>
          <a:ext cx="326136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Hence</a:t>
          </a:r>
          <a:r>
            <a:rPr lang="en-IN" sz="1100" baseline="0"/>
            <a:t> the patients that have age value filled are 50.</a:t>
          </a:r>
          <a:endParaRPr lang="en-IN" sz="1100"/>
        </a:p>
      </xdr:txBody>
    </xdr:sp>
    <xdr:clientData/>
  </xdr:twoCellAnchor>
  <xdr:twoCellAnchor>
    <xdr:from>
      <xdr:col>12</xdr:col>
      <xdr:colOff>0</xdr:colOff>
      <xdr:row>8</xdr:row>
      <xdr:rowOff>175260</xdr:rowOff>
    </xdr:from>
    <xdr:to>
      <xdr:col>16</xdr:col>
      <xdr:colOff>327660</xdr:colOff>
      <xdr:row>10</xdr:row>
      <xdr:rowOff>15240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E651CF9-D1EE-1890-236C-5723E5ED5386}"/>
            </a:ext>
          </a:extLst>
        </xdr:cNvPr>
        <xdr:cNvSpPr txBox="1"/>
      </xdr:nvSpPr>
      <xdr:spPr>
        <a:xfrm>
          <a:off x="9570720" y="1638300"/>
          <a:ext cx="28422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Hence</a:t>
          </a:r>
          <a:r>
            <a:rPr lang="en-IN" sz="1100" baseline="0"/>
            <a:t> the number of female patients are 24.</a:t>
          </a:r>
          <a:endParaRPr lang="en-IN" sz="1100"/>
        </a:p>
      </xdr:txBody>
    </xdr:sp>
    <xdr:clientData/>
  </xdr:twoCellAnchor>
  <xdr:twoCellAnchor>
    <xdr:from>
      <xdr:col>11</xdr:col>
      <xdr:colOff>601980</xdr:colOff>
      <xdr:row>10</xdr:row>
      <xdr:rowOff>152400</xdr:rowOff>
    </xdr:from>
    <xdr:to>
      <xdr:col>16</xdr:col>
      <xdr:colOff>601980</xdr:colOff>
      <xdr:row>12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9E92D0-0F39-C5EE-AEC8-25D4DEF6D59F}"/>
            </a:ext>
          </a:extLst>
        </xdr:cNvPr>
        <xdr:cNvSpPr txBox="1"/>
      </xdr:nvSpPr>
      <xdr:spPr>
        <a:xfrm>
          <a:off x="9563100" y="1981200"/>
          <a:ext cx="3124200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rgbClr val="FF0000"/>
              </a:solidFill>
            </a:rPr>
            <a:t>Count how many male patients are in Cardiology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601980</xdr:colOff>
      <xdr:row>14</xdr:row>
      <xdr:rowOff>0</xdr:rowOff>
    </xdr:from>
    <xdr:to>
      <xdr:col>18</xdr:col>
      <xdr:colOff>388620</xdr:colOff>
      <xdr:row>15</xdr:row>
      <xdr:rowOff>22860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063CB1-6BF5-7ACC-C7B9-E4AF16F0AC08}"/>
            </a:ext>
          </a:extLst>
        </xdr:cNvPr>
        <xdr:cNvSpPr txBox="1"/>
      </xdr:nvSpPr>
      <xdr:spPr>
        <a:xfrm>
          <a:off x="9563100" y="2560320"/>
          <a:ext cx="413004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Hence the number of male patients in cardiology department</a:t>
          </a:r>
          <a:r>
            <a:rPr lang="en-IN" sz="1100" baseline="0"/>
            <a:t> are 4. </a:t>
          </a:r>
          <a:endParaRPr lang="en-IN" sz="1100"/>
        </a:p>
      </xdr:txBody>
    </xdr:sp>
    <xdr:clientData/>
  </xdr:twoCellAnchor>
  <xdr:twoCellAnchor>
    <xdr:from>
      <xdr:col>12</xdr:col>
      <xdr:colOff>7620</xdr:colOff>
      <xdr:row>22</xdr:row>
      <xdr:rowOff>175260</xdr:rowOff>
    </xdr:from>
    <xdr:to>
      <xdr:col>17</xdr:col>
      <xdr:colOff>541020</xdr:colOff>
      <xdr:row>24</xdr:row>
      <xdr:rowOff>22860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2ED799-EBEC-F7BA-48AB-0DAD50267854}"/>
            </a:ext>
          </a:extLst>
        </xdr:cNvPr>
        <xdr:cNvSpPr txBox="1"/>
      </xdr:nvSpPr>
      <xdr:spPr>
        <a:xfrm>
          <a:off x="9578340" y="4198620"/>
          <a:ext cx="3657600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Sum</a:t>
          </a:r>
          <a:r>
            <a:rPr lang="en-IN" sz="1100" b="1" baseline="0">
              <a:solidFill>
                <a:srgbClr val="FF0000"/>
              </a:solidFill>
            </a:rPr>
            <a:t> of patients pending payments under Dr. Singh in ICU ward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7620</xdr:colOff>
      <xdr:row>26</xdr:row>
      <xdr:rowOff>7620</xdr:rowOff>
    </xdr:from>
    <xdr:to>
      <xdr:col>18</xdr:col>
      <xdr:colOff>403860</xdr:colOff>
      <xdr:row>28</xdr:row>
      <xdr:rowOff>83820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660448-A531-C73B-A99A-DC2907F0984B}"/>
            </a:ext>
          </a:extLst>
        </xdr:cNvPr>
        <xdr:cNvSpPr txBox="1"/>
      </xdr:nvSpPr>
      <xdr:spPr>
        <a:xfrm>
          <a:off x="9578340" y="4762500"/>
          <a:ext cx="413004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Hence the sum of payment</a:t>
          </a:r>
          <a:r>
            <a:rPr lang="en-IN" sz="1100" baseline="0"/>
            <a:t> pending against Dr. Singh for paitents in ICU ward is Rs. 93790.</a:t>
          </a:r>
          <a:endParaRPr lang="en-IN" sz="1100"/>
        </a:p>
      </xdr:txBody>
    </xdr:sp>
    <xdr:clientData/>
  </xdr:twoCellAnchor>
  <xdr:twoCellAnchor>
    <xdr:from>
      <xdr:col>12</xdr:col>
      <xdr:colOff>7620</xdr:colOff>
      <xdr:row>0</xdr:row>
      <xdr:rowOff>175260</xdr:rowOff>
    </xdr:from>
    <xdr:to>
      <xdr:col>16</xdr:col>
      <xdr:colOff>601980</xdr:colOff>
      <xdr:row>2</xdr:row>
      <xdr:rowOff>7620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E8311B-97ED-46C8-A723-546AF238ED75}"/>
            </a:ext>
          </a:extLst>
        </xdr:cNvPr>
        <xdr:cNvSpPr txBox="1"/>
      </xdr:nvSpPr>
      <xdr:spPr>
        <a:xfrm>
          <a:off x="9578340" y="723900"/>
          <a:ext cx="3108960" cy="198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rgbClr val="FF0000"/>
              </a:solidFill>
            </a:rPr>
            <a:t>Count how many patients have</a:t>
          </a:r>
          <a:r>
            <a:rPr lang="en-IN" b="1" baseline="0">
              <a:solidFill>
                <a:srgbClr val="FF0000"/>
              </a:solidFill>
            </a:rPr>
            <a:t> age column filled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259080</xdr:colOff>
      <xdr:row>17</xdr:row>
      <xdr:rowOff>22860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4A3AB4C-AA8A-6B5E-EB4A-BB7490DD93CE}"/>
            </a:ext>
          </a:extLst>
        </xdr:cNvPr>
        <xdr:cNvSpPr txBox="1"/>
      </xdr:nvSpPr>
      <xdr:spPr>
        <a:xfrm>
          <a:off x="9570720" y="2926080"/>
          <a:ext cx="277368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rgbClr val="FF0000"/>
              </a:solidFill>
            </a:rPr>
            <a:t>Find the Department of Patient P029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0</xdr:colOff>
      <xdr:row>19</xdr:row>
      <xdr:rowOff>76200</xdr:rowOff>
    </xdr:from>
    <xdr:to>
      <xdr:col>17</xdr:col>
      <xdr:colOff>594360</xdr:colOff>
      <xdr:row>21</xdr:row>
      <xdr:rowOff>160020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CF89F1-5EC5-38C6-A482-9497E9ED67B0}"/>
            </a:ext>
          </a:extLst>
        </xdr:cNvPr>
        <xdr:cNvSpPr txBox="1"/>
      </xdr:nvSpPr>
      <xdr:spPr>
        <a:xfrm>
          <a:off x="9570720" y="3550920"/>
          <a:ext cx="3718560" cy="449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Hence we got to know that</a:t>
          </a:r>
          <a:r>
            <a:rPr lang="en-IN" sz="1100" baseline="0"/>
            <a:t> patient with ID P029 belongs to General Department.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21</xdr:row>
      <xdr:rowOff>60960</xdr:rowOff>
    </xdr:from>
    <xdr:to>
      <xdr:col>10</xdr:col>
      <xdr:colOff>266700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758724-2144-AFA9-5A15-8673C28F1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</xdr:colOff>
      <xdr:row>19</xdr:row>
      <xdr:rowOff>106680</xdr:rowOff>
    </xdr:from>
    <xdr:to>
      <xdr:col>4</xdr:col>
      <xdr:colOff>685800</xdr:colOff>
      <xdr:row>30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2C1B11-C0B5-E9C4-7CE0-8307DF36E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3.974181712962" createdVersion="8" refreshedVersion="8" minRefreshableVersion="3" recordCount="50" xr:uid="{D1317126-A827-468E-9B3D-3B14B1650FC9}">
  <cacheSource type="worksheet">
    <worksheetSource name="Table1"/>
  </cacheSource>
  <cacheFields count="10">
    <cacheField name="Patient_ID" numFmtId="0">
      <sharedItems count="5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</sharedItems>
    </cacheField>
    <cacheField name="Patient_Name" numFmtId="0">
      <sharedItems count="34">
        <s v="Sneha Iyer"/>
        <s v="Priya Verma"/>
        <s v="Rahul Verma"/>
        <s v="Karan Das"/>
        <s v="Amit Verma"/>
        <s v="Rahul Iyer"/>
        <s v="Pooja Das"/>
        <s v="Rahul Das"/>
        <s v="Karan Verma"/>
        <s v="Priya Das"/>
        <s v="Arjun Verma"/>
        <s v="Riya Das"/>
        <s v="Neha Shah"/>
        <s v="Amit Patel"/>
        <s v="Vikas Shah"/>
        <s v="Sneha Shah"/>
        <s v="Neha Verma"/>
        <s v="Amit Iyer"/>
        <s v="Karan Patel"/>
        <s v="Pooja Patel"/>
        <s v="Vikas Das"/>
        <s v="Priya Iyer"/>
        <s v="Vikas Iyer"/>
        <s v="Rahul Shah"/>
        <s v="Neha Patel"/>
        <s v="Pooja Shah"/>
        <s v="Arjun Patel"/>
        <s v="Priya Patel"/>
        <s v="Pooja Iyer"/>
        <s v="Riya Shah"/>
        <s v="Arjun Das"/>
        <s v="Riya Patel"/>
        <s v="Sneha Verma"/>
        <s v="Rahul Patel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5" maxValue="80"/>
    </cacheField>
    <cacheField name="Department" numFmtId="0">
      <sharedItems count="5">
        <s v="Cardiology"/>
        <s v="Pediatrics"/>
        <s v="Orthopedics"/>
        <s v="General"/>
        <s v="Neurology"/>
      </sharedItems>
    </cacheField>
    <cacheField name="Doctor" numFmtId="0">
      <sharedItems count="5">
        <s v="Dr. Mehta"/>
        <s v="Dr. Khan"/>
        <s v="Dr. Patel"/>
        <s v="Dr. Singh"/>
        <s v="Dr. Sharma"/>
      </sharedItems>
    </cacheField>
    <cacheField name="Ward" numFmtId="0">
      <sharedItems count="5">
        <s v="Ward B"/>
        <s v="Ward C"/>
        <s v="ICU"/>
        <s v="General"/>
        <s v="Ward A"/>
      </sharedItems>
    </cacheField>
    <cacheField name="Admission_Date" numFmtId="0">
      <sharedItems/>
    </cacheField>
    <cacheField name="Bill_Amount" numFmtId="0">
      <sharedItems containsSemiMixedTypes="0" containsString="0" containsNumber="1" containsInteger="1" minValue="2812" maxValue="48752"/>
    </cacheField>
    <cacheField name="Payment_Status" numFmtId="0">
      <sharedItems count="2">
        <s v="Pending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38"/>
    <x v="0"/>
    <x v="0"/>
    <x v="0"/>
    <s v="2026-03-03"/>
    <n v="27219"/>
    <x v="0"/>
  </r>
  <r>
    <x v="1"/>
    <x v="1"/>
    <x v="0"/>
    <n v="43"/>
    <x v="1"/>
    <x v="1"/>
    <x v="0"/>
    <s v="2026-01-08"/>
    <n v="46336"/>
    <x v="0"/>
  </r>
  <r>
    <x v="2"/>
    <x v="2"/>
    <x v="0"/>
    <n v="7"/>
    <x v="1"/>
    <x v="2"/>
    <x v="1"/>
    <s v="2026-02-16"/>
    <n v="38238"/>
    <x v="0"/>
  </r>
  <r>
    <x v="3"/>
    <x v="3"/>
    <x v="1"/>
    <n v="7"/>
    <x v="0"/>
    <x v="0"/>
    <x v="1"/>
    <s v="2026-01-09"/>
    <n v="41971"/>
    <x v="0"/>
  </r>
  <r>
    <x v="4"/>
    <x v="4"/>
    <x v="1"/>
    <n v="7"/>
    <x v="2"/>
    <x v="2"/>
    <x v="2"/>
    <s v="2026-03-24"/>
    <n v="37697"/>
    <x v="0"/>
  </r>
  <r>
    <x v="5"/>
    <x v="5"/>
    <x v="0"/>
    <n v="40"/>
    <x v="3"/>
    <x v="3"/>
    <x v="0"/>
    <s v="2026-01-29"/>
    <n v="45861"/>
    <x v="1"/>
  </r>
  <r>
    <x v="6"/>
    <x v="6"/>
    <x v="0"/>
    <n v="52"/>
    <x v="2"/>
    <x v="1"/>
    <x v="2"/>
    <s v="2026-02-07"/>
    <n v="20411"/>
    <x v="0"/>
  </r>
  <r>
    <x v="7"/>
    <x v="7"/>
    <x v="1"/>
    <n v="31"/>
    <x v="1"/>
    <x v="4"/>
    <x v="2"/>
    <s v="2026-03-27"/>
    <n v="7299"/>
    <x v="0"/>
  </r>
  <r>
    <x v="8"/>
    <x v="3"/>
    <x v="1"/>
    <n v="16"/>
    <x v="4"/>
    <x v="3"/>
    <x v="3"/>
    <s v="2026-03-09"/>
    <n v="28251"/>
    <x v="1"/>
  </r>
  <r>
    <x v="9"/>
    <x v="8"/>
    <x v="1"/>
    <n v="10"/>
    <x v="2"/>
    <x v="3"/>
    <x v="0"/>
    <s v="2026-02-25"/>
    <n v="17485"/>
    <x v="0"/>
  </r>
  <r>
    <x v="10"/>
    <x v="9"/>
    <x v="0"/>
    <n v="32"/>
    <x v="0"/>
    <x v="2"/>
    <x v="0"/>
    <s v="2026-03-25"/>
    <n v="44912"/>
    <x v="0"/>
  </r>
  <r>
    <x v="11"/>
    <x v="10"/>
    <x v="0"/>
    <n v="79"/>
    <x v="2"/>
    <x v="2"/>
    <x v="2"/>
    <s v="2026-02-06"/>
    <n v="33781"/>
    <x v="1"/>
  </r>
  <r>
    <x v="12"/>
    <x v="11"/>
    <x v="1"/>
    <n v="67"/>
    <x v="3"/>
    <x v="1"/>
    <x v="4"/>
    <s v="2026-01-01"/>
    <n v="28308"/>
    <x v="1"/>
  </r>
  <r>
    <x v="13"/>
    <x v="12"/>
    <x v="1"/>
    <n v="37"/>
    <x v="2"/>
    <x v="1"/>
    <x v="2"/>
    <s v="2026-03-01"/>
    <n v="35014"/>
    <x v="1"/>
  </r>
  <r>
    <x v="14"/>
    <x v="13"/>
    <x v="0"/>
    <n v="72"/>
    <x v="3"/>
    <x v="4"/>
    <x v="0"/>
    <s v="2026-02-14"/>
    <n v="13572"/>
    <x v="1"/>
  </r>
  <r>
    <x v="15"/>
    <x v="14"/>
    <x v="1"/>
    <n v="38"/>
    <x v="3"/>
    <x v="3"/>
    <x v="2"/>
    <s v="2026-03-18"/>
    <n v="43894"/>
    <x v="0"/>
  </r>
  <r>
    <x v="16"/>
    <x v="15"/>
    <x v="1"/>
    <n v="58"/>
    <x v="0"/>
    <x v="3"/>
    <x v="1"/>
    <s v="2026-02-03"/>
    <n v="3882"/>
    <x v="0"/>
  </r>
  <r>
    <x v="17"/>
    <x v="9"/>
    <x v="0"/>
    <n v="57"/>
    <x v="1"/>
    <x v="3"/>
    <x v="2"/>
    <s v="2026-02-23"/>
    <n v="46919"/>
    <x v="0"/>
  </r>
  <r>
    <x v="18"/>
    <x v="14"/>
    <x v="0"/>
    <n v="56"/>
    <x v="0"/>
    <x v="4"/>
    <x v="4"/>
    <s v="2026-03-08"/>
    <n v="41418"/>
    <x v="1"/>
  </r>
  <r>
    <x v="19"/>
    <x v="16"/>
    <x v="1"/>
    <n v="75"/>
    <x v="3"/>
    <x v="1"/>
    <x v="2"/>
    <s v="2026-01-14"/>
    <n v="15754"/>
    <x v="1"/>
  </r>
  <r>
    <x v="20"/>
    <x v="10"/>
    <x v="1"/>
    <n v="57"/>
    <x v="2"/>
    <x v="3"/>
    <x v="3"/>
    <s v="2026-03-04"/>
    <n v="26393"/>
    <x v="1"/>
  </r>
  <r>
    <x v="21"/>
    <x v="17"/>
    <x v="0"/>
    <n v="47"/>
    <x v="3"/>
    <x v="1"/>
    <x v="0"/>
    <s v="2026-01-30"/>
    <n v="6502"/>
    <x v="0"/>
  </r>
  <r>
    <x v="22"/>
    <x v="18"/>
    <x v="0"/>
    <n v="26"/>
    <x v="4"/>
    <x v="1"/>
    <x v="1"/>
    <s v="2026-03-10"/>
    <n v="3978"/>
    <x v="1"/>
  </r>
  <r>
    <x v="23"/>
    <x v="19"/>
    <x v="0"/>
    <n v="19"/>
    <x v="2"/>
    <x v="3"/>
    <x v="0"/>
    <s v="2026-01-13"/>
    <n v="9231"/>
    <x v="0"/>
  </r>
  <r>
    <x v="24"/>
    <x v="19"/>
    <x v="0"/>
    <n v="45"/>
    <x v="0"/>
    <x v="0"/>
    <x v="2"/>
    <s v="2026-03-29"/>
    <n v="10857"/>
    <x v="1"/>
  </r>
  <r>
    <x v="25"/>
    <x v="15"/>
    <x v="1"/>
    <n v="80"/>
    <x v="1"/>
    <x v="2"/>
    <x v="2"/>
    <s v="2026-02-06"/>
    <n v="43914"/>
    <x v="0"/>
  </r>
  <r>
    <x v="26"/>
    <x v="20"/>
    <x v="1"/>
    <n v="40"/>
    <x v="0"/>
    <x v="2"/>
    <x v="1"/>
    <s v="2026-03-02"/>
    <n v="40763"/>
    <x v="1"/>
  </r>
  <r>
    <x v="27"/>
    <x v="16"/>
    <x v="1"/>
    <n v="72"/>
    <x v="4"/>
    <x v="4"/>
    <x v="0"/>
    <s v="2026-01-08"/>
    <n v="24539"/>
    <x v="0"/>
  </r>
  <r>
    <x v="28"/>
    <x v="21"/>
    <x v="0"/>
    <n v="23"/>
    <x v="3"/>
    <x v="2"/>
    <x v="0"/>
    <s v="2026-01-29"/>
    <n v="10329"/>
    <x v="1"/>
  </r>
  <r>
    <x v="29"/>
    <x v="22"/>
    <x v="1"/>
    <n v="63"/>
    <x v="2"/>
    <x v="2"/>
    <x v="4"/>
    <s v="2026-01-21"/>
    <n v="29433"/>
    <x v="1"/>
  </r>
  <r>
    <x v="30"/>
    <x v="23"/>
    <x v="0"/>
    <n v="33"/>
    <x v="0"/>
    <x v="2"/>
    <x v="1"/>
    <s v="2026-03-30"/>
    <n v="41097"/>
    <x v="1"/>
  </r>
  <r>
    <x v="31"/>
    <x v="5"/>
    <x v="0"/>
    <n v="64"/>
    <x v="0"/>
    <x v="3"/>
    <x v="2"/>
    <s v="2026-03-16"/>
    <n v="2977"/>
    <x v="0"/>
  </r>
  <r>
    <x v="32"/>
    <x v="24"/>
    <x v="1"/>
    <n v="29"/>
    <x v="4"/>
    <x v="0"/>
    <x v="0"/>
    <s v="2026-01-24"/>
    <n v="48752"/>
    <x v="1"/>
  </r>
  <r>
    <x v="33"/>
    <x v="15"/>
    <x v="1"/>
    <n v="64"/>
    <x v="4"/>
    <x v="3"/>
    <x v="0"/>
    <s v="2026-01-02"/>
    <n v="23986"/>
    <x v="1"/>
  </r>
  <r>
    <x v="34"/>
    <x v="10"/>
    <x v="0"/>
    <n v="5"/>
    <x v="1"/>
    <x v="0"/>
    <x v="4"/>
    <s v="2026-02-07"/>
    <n v="15295"/>
    <x v="0"/>
  </r>
  <r>
    <x v="35"/>
    <x v="25"/>
    <x v="1"/>
    <n v="53"/>
    <x v="1"/>
    <x v="0"/>
    <x v="1"/>
    <s v="2026-01-31"/>
    <n v="31392"/>
    <x v="0"/>
  </r>
  <r>
    <x v="36"/>
    <x v="8"/>
    <x v="1"/>
    <n v="13"/>
    <x v="2"/>
    <x v="1"/>
    <x v="2"/>
    <s v="2026-01-02"/>
    <n v="36449"/>
    <x v="1"/>
  </r>
  <r>
    <x v="37"/>
    <x v="26"/>
    <x v="1"/>
    <n v="27"/>
    <x v="2"/>
    <x v="1"/>
    <x v="3"/>
    <s v="2026-02-26"/>
    <n v="18248"/>
    <x v="0"/>
  </r>
  <r>
    <x v="38"/>
    <x v="14"/>
    <x v="1"/>
    <n v="9"/>
    <x v="3"/>
    <x v="0"/>
    <x v="3"/>
    <s v="2026-03-16"/>
    <n v="14070"/>
    <x v="0"/>
  </r>
  <r>
    <x v="39"/>
    <x v="23"/>
    <x v="0"/>
    <n v="20"/>
    <x v="3"/>
    <x v="0"/>
    <x v="0"/>
    <s v="2026-02-17"/>
    <n v="25645"/>
    <x v="0"/>
  </r>
  <r>
    <x v="40"/>
    <x v="27"/>
    <x v="1"/>
    <n v="46"/>
    <x v="1"/>
    <x v="3"/>
    <x v="0"/>
    <s v="2026-03-05"/>
    <n v="23746"/>
    <x v="1"/>
  </r>
  <r>
    <x v="41"/>
    <x v="28"/>
    <x v="0"/>
    <n v="16"/>
    <x v="1"/>
    <x v="1"/>
    <x v="4"/>
    <s v="2026-01-02"/>
    <n v="2812"/>
    <x v="1"/>
  </r>
  <r>
    <x v="42"/>
    <x v="29"/>
    <x v="0"/>
    <n v="38"/>
    <x v="1"/>
    <x v="2"/>
    <x v="0"/>
    <s v="2026-01-08"/>
    <n v="34014"/>
    <x v="1"/>
  </r>
  <r>
    <x v="43"/>
    <x v="5"/>
    <x v="1"/>
    <n v="16"/>
    <x v="2"/>
    <x v="3"/>
    <x v="1"/>
    <s v="2026-02-25"/>
    <n v="22409"/>
    <x v="1"/>
  </r>
  <r>
    <x v="44"/>
    <x v="30"/>
    <x v="1"/>
    <n v="49"/>
    <x v="4"/>
    <x v="4"/>
    <x v="2"/>
    <s v="2026-02-16"/>
    <n v="38954"/>
    <x v="0"/>
  </r>
  <r>
    <x v="45"/>
    <x v="14"/>
    <x v="0"/>
    <n v="31"/>
    <x v="2"/>
    <x v="3"/>
    <x v="4"/>
    <s v="2026-03-25"/>
    <n v="5035"/>
    <x v="0"/>
  </r>
  <r>
    <x v="46"/>
    <x v="31"/>
    <x v="1"/>
    <n v="29"/>
    <x v="0"/>
    <x v="1"/>
    <x v="2"/>
    <s v="2026-02-19"/>
    <n v="46052"/>
    <x v="0"/>
  </r>
  <r>
    <x v="47"/>
    <x v="9"/>
    <x v="0"/>
    <n v="28"/>
    <x v="3"/>
    <x v="3"/>
    <x v="4"/>
    <s v="2026-02-23"/>
    <n v="34405"/>
    <x v="0"/>
  </r>
  <r>
    <x v="48"/>
    <x v="32"/>
    <x v="0"/>
    <n v="56"/>
    <x v="3"/>
    <x v="0"/>
    <x v="4"/>
    <s v="2026-01-18"/>
    <n v="26472"/>
    <x v="1"/>
  </r>
  <r>
    <x v="49"/>
    <x v="33"/>
    <x v="1"/>
    <n v="61"/>
    <x v="4"/>
    <x v="4"/>
    <x v="4"/>
    <s v="2026-02-19"/>
    <n v="524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1CBF7-A2D9-4FDA-9B2C-D5053AB575DE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8:H21" firstHeaderRow="1" firstDataRow="1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Bill amount" fld="8" baseField="9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F2493-0173-41D5-BB77-F32C42E2797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9:M16" firstHeaderRow="1" firstDataRow="2" firstDataCol="1"/>
  <pivotFields count="10">
    <pivotField showAll="0"/>
    <pivotField showAll="0"/>
    <pivotField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axis="axisRow" dataField="1" showAll="0">
      <items count="6">
        <item x="1"/>
        <item x="0"/>
        <item x="2"/>
        <item x="4"/>
        <item x="3"/>
        <item t="default"/>
      </items>
    </pivotField>
    <pivotField axis="axisCol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octor" fld="5" subtotal="count" baseField="0" baseItem="0"/>
  </dataFields>
  <formats count="2">
    <format dxfId="1">
      <pivotArea grandCol="1" outline="0" collapsedLevelsAreSubtotals="1" fieldPosition="0"/>
    </format>
    <format dxfId="0">
      <pivotArea dataOnly="0" labelOnly="1" grandCol="1" outline="0" fieldPosition="0"/>
    </format>
  </formats>
  <chartFormats count="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A5D10-8882-4133-BDF1-88B37F3C9EF2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2:H5" firstHeaderRow="1" firstDataRow="1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ge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842AA-3059-4B53-9671-CF5642D995FD}" name="PivotTable1" cacheId="1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:E19" firstHeaderRow="1" firstDataRow="2" firstDataCol="1"/>
  <pivotFields count="10">
    <pivotField showAll="0"/>
    <pivotField showAll="0">
      <items count="35">
        <item x="17"/>
        <item x="13"/>
        <item x="4"/>
        <item x="30"/>
        <item x="26"/>
        <item x="10"/>
        <item x="3"/>
        <item x="18"/>
        <item x="8"/>
        <item x="24"/>
        <item x="12"/>
        <item x="16"/>
        <item x="6"/>
        <item x="28"/>
        <item x="19"/>
        <item x="25"/>
        <item x="9"/>
        <item x="21"/>
        <item x="27"/>
        <item x="1"/>
        <item x="7"/>
        <item x="5"/>
        <item x="33"/>
        <item x="23"/>
        <item x="2"/>
        <item x="11"/>
        <item x="31"/>
        <item x="29"/>
        <item x="0"/>
        <item x="15"/>
        <item x="32"/>
        <item x="20"/>
        <item x="22"/>
        <item x="14"/>
        <item t="default"/>
      </items>
    </pivotField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</pivotFields>
  <rowFields count="2">
    <field x="5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9"/>
  </colFields>
  <colItems count="3">
    <i>
      <x/>
    </i>
    <i>
      <x v="1"/>
    </i>
    <i t="grand">
      <x/>
    </i>
  </colItems>
  <dataFields count="2">
    <dataField name="Count of Bills" fld="8" subtotal="count" baseField="5" baseItem="0"/>
    <dataField name="Sum of Bills" fld="8" baseField="5" baseItem="0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1D911-8624-41DF-9518-EBFDCE15CC08}" name="Table1" displayName="Table1" ref="A1:J51" totalsRowShown="0">
  <autoFilter ref="A1:J51" xr:uid="{B051D911-8624-41DF-9518-EBFDCE15CC08}"/>
  <tableColumns count="10">
    <tableColumn id="1" xr3:uid="{81DFB771-1A03-4D2B-9E8C-676011872ACF}" name="Patient_ID"/>
    <tableColumn id="2" xr3:uid="{BDE3D6C9-DAC8-496C-B711-C09B1888B96C}" name="Patient_Name"/>
    <tableColumn id="3" xr3:uid="{5D003CE0-BCC9-43F6-80B4-4E0803336D8B}" name="Gender"/>
    <tableColumn id="4" xr3:uid="{5D79549D-D9B0-487F-86AD-00ADEBC6AB35}" name="Age"/>
    <tableColumn id="5" xr3:uid="{B9DC09C9-8A01-4006-BB0D-0F4D8A02F19E}" name="Department"/>
    <tableColumn id="6" xr3:uid="{C0840B04-8FBF-4085-82A7-52D8EF2B388E}" name="Doctor"/>
    <tableColumn id="7" xr3:uid="{5A638DEF-6636-44CC-A71C-31EB0228A0C2}" name="Ward"/>
    <tableColumn id="8" xr3:uid="{CFC5296B-9386-4F0F-B84D-0ED92DFAA9B2}" name="Admission_Date"/>
    <tableColumn id="9" xr3:uid="{BB8AE69C-464B-49B7-B7F7-4B0B95BC651B}" name="Bill_Amount"/>
    <tableColumn id="10" xr3:uid="{5D8FC1EC-ABDA-4270-9604-D2FD846FF7A3}" name="Payment_Status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21" workbookViewId="0">
      <selection sqref="A1:J5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38</v>
      </c>
      <c r="E2" t="s">
        <v>13</v>
      </c>
      <c r="F2" t="s">
        <v>14</v>
      </c>
      <c r="G2" t="s">
        <v>15</v>
      </c>
      <c r="H2" t="s">
        <v>16</v>
      </c>
      <c r="I2">
        <v>27219</v>
      </c>
      <c r="J2" t="s">
        <v>17</v>
      </c>
    </row>
    <row r="3" spans="1:10" x14ac:dyDescent="0.3">
      <c r="A3" t="s">
        <v>18</v>
      </c>
      <c r="B3" t="s">
        <v>19</v>
      </c>
      <c r="C3" t="s">
        <v>12</v>
      </c>
      <c r="D3">
        <v>43</v>
      </c>
      <c r="E3" t="s">
        <v>20</v>
      </c>
      <c r="F3" t="s">
        <v>21</v>
      </c>
      <c r="G3" t="s">
        <v>15</v>
      </c>
      <c r="H3" t="s">
        <v>22</v>
      </c>
      <c r="I3">
        <v>46336</v>
      </c>
      <c r="J3" t="s">
        <v>17</v>
      </c>
    </row>
    <row r="4" spans="1:10" x14ac:dyDescent="0.3">
      <c r="A4" t="s">
        <v>23</v>
      </c>
      <c r="B4" t="s">
        <v>24</v>
      </c>
      <c r="C4" t="s">
        <v>12</v>
      </c>
      <c r="D4">
        <v>7</v>
      </c>
      <c r="E4" t="s">
        <v>20</v>
      </c>
      <c r="F4" t="s">
        <v>25</v>
      </c>
      <c r="G4" t="s">
        <v>26</v>
      </c>
      <c r="H4" t="s">
        <v>27</v>
      </c>
      <c r="I4">
        <v>38238</v>
      </c>
      <c r="J4" t="s">
        <v>17</v>
      </c>
    </row>
    <row r="5" spans="1:10" x14ac:dyDescent="0.3">
      <c r="A5" t="s">
        <v>28</v>
      </c>
      <c r="B5" t="s">
        <v>29</v>
      </c>
      <c r="C5" t="s">
        <v>30</v>
      </c>
      <c r="D5">
        <v>7</v>
      </c>
      <c r="E5" t="s">
        <v>13</v>
      </c>
      <c r="F5" t="s">
        <v>14</v>
      </c>
      <c r="G5" t="s">
        <v>26</v>
      </c>
      <c r="H5" t="s">
        <v>31</v>
      </c>
      <c r="I5">
        <v>41971</v>
      </c>
      <c r="J5" t="s">
        <v>17</v>
      </c>
    </row>
    <row r="6" spans="1:10" x14ac:dyDescent="0.3">
      <c r="A6" t="s">
        <v>32</v>
      </c>
      <c r="B6" t="s">
        <v>33</v>
      </c>
      <c r="C6" t="s">
        <v>30</v>
      </c>
      <c r="D6">
        <v>7</v>
      </c>
      <c r="E6" t="s">
        <v>34</v>
      </c>
      <c r="F6" t="s">
        <v>25</v>
      </c>
      <c r="G6" t="s">
        <v>35</v>
      </c>
      <c r="H6" t="s">
        <v>36</v>
      </c>
      <c r="I6">
        <v>37697</v>
      </c>
      <c r="J6" t="s">
        <v>17</v>
      </c>
    </row>
    <row r="7" spans="1:10" x14ac:dyDescent="0.3">
      <c r="A7" t="s">
        <v>37</v>
      </c>
      <c r="B7" t="s">
        <v>38</v>
      </c>
      <c r="C7" t="s">
        <v>12</v>
      </c>
      <c r="D7">
        <v>40</v>
      </c>
      <c r="E7" t="s">
        <v>39</v>
      </c>
      <c r="F7" t="s">
        <v>40</v>
      </c>
      <c r="G7" t="s">
        <v>15</v>
      </c>
      <c r="H7" t="s">
        <v>41</v>
      </c>
      <c r="I7">
        <v>45861</v>
      </c>
      <c r="J7" t="s">
        <v>42</v>
      </c>
    </row>
    <row r="8" spans="1:10" x14ac:dyDescent="0.3">
      <c r="A8" t="s">
        <v>43</v>
      </c>
      <c r="B8" t="s">
        <v>44</v>
      </c>
      <c r="C8" t="s">
        <v>12</v>
      </c>
      <c r="D8">
        <v>52</v>
      </c>
      <c r="E8" t="s">
        <v>34</v>
      </c>
      <c r="F8" t="s">
        <v>21</v>
      </c>
      <c r="G8" t="s">
        <v>35</v>
      </c>
      <c r="H8" t="s">
        <v>45</v>
      </c>
      <c r="I8">
        <v>20411</v>
      </c>
      <c r="J8" t="s">
        <v>17</v>
      </c>
    </row>
    <row r="9" spans="1:10" x14ac:dyDescent="0.3">
      <c r="A9" t="s">
        <v>46</v>
      </c>
      <c r="B9" t="s">
        <v>47</v>
      </c>
      <c r="C9" t="s">
        <v>30</v>
      </c>
      <c r="D9">
        <v>31</v>
      </c>
      <c r="E9" t="s">
        <v>20</v>
      </c>
      <c r="F9" t="s">
        <v>48</v>
      </c>
      <c r="G9" t="s">
        <v>35</v>
      </c>
      <c r="H9" t="s">
        <v>49</v>
      </c>
      <c r="I9">
        <v>7299</v>
      </c>
      <c r="J9" t="s">
        <v>17</v>
      </c>
    </row>
    <row r="10" spans="1:10" x14ac:dyDescent="0.3">
      <c r="A10" t="s">
        <v>50</v>
      </c>
      <c r="B10" t="s">
        <v>29</v>
      </c>
      <c r="C10" t="s">
        <v>30</v>
      </c>
      <c r="D10">
        <v>16</v>
      </c>
      <c r="E10" t="s">
        <v>51</v>
      </c>
      <c r="F10" t="s">
        <v>40</v>
      </c>
      <c r="G10" t="s">
        <v>39</v>
      </c>
      <c r="H10" t="s">
        <v>52</v>
      </c>
      <c r="I10">
        <v>28251</v>
      </c>
      <c r="J10" t="s">
        <v>42</v>
      </c>
    </row>
    <row r="11" spans="1:10" x14ac:dyDescent="0.3">
      <c r="A11" t="s">
        <v>53</v>
      </c>
      <c r="B11" t="s">
        <v>54</v>
      </c>
      <c r="C11" t="s">
        <v>30</v>
      </c>
      <c r="D11">
        <v>10</v>
      </c>
      <c r="E11" t="s">
        <v>34</v>
      </c>
      <c r="F11" t="s">
        <v>40</v>
      </c>
      <c r="G11" t="s">
        <v>15</v>
      </c>
      <c r="H11" t="s">
        <v>55</v>
      </c>
      <c r="I11">
        <v>17485</v>
      </c>
      <c r="J11" t="s">
        <v>17</v>
      </c>
    </row>
    <row r="12" spans="1:10" x14ac:dyDescent="0.3">
      <c r="A12" t="s">
        <v>56</v>
      </c>
      <c r="B12" t="s">
        <v>57</v>
      </c>
      <c r="C12" t="s">
        <v>12</v>
      </c>
      <c r="D12">
        <v>32</v>
      </c>
      <c r="E12" t="s">
        <v>13</v>
      </c>
      <c r="F12" t="s">
        <v>25</v>
      </c>
      <c r="G12" t="s">
        <v>15</v>
      </c>
      <c r="H12" t="s">
        <v>58</v>
      </c>
      <c r="I12">
        <v>44912</v>
      </c>
      <c r="J12" t="s">
        <v>17</v>
      </c>
    </row>
    <row r="13" spans="1:10" x14ac:dyDescent="0.3">
      <c r="A13" t="s">
        <v>59</v>
      </c>
      <c r="B13" t="s">
        <v>60</v>
      </c>
      <c r="C13" t="s">
        <v>12</v>
      </c>
      <c r="D13">
        <v>79</v>
      </c>
      <c r="E13" t="s">
        <v>34</v>
      </c>
      <c r="F13" t="s">
        <v>25</v>
      </c>
      <c r="G13" t="s">
        <v>35</v>
      </c>
      <c r="H13" t="s">
        <v>61</v>
      </c>
      <c r="I13">
        <v>33781</v>
      </c>
      <c r="J13" t="s">
        <v>42</v>
      </c>
    </row>
    <row r="14" spans="1:10" x14ac:dyDescent="0.3">
      <c r="A14" t="s">
        <v>62</v>
      </c>
      <c r="B14" t="s">
        <v>63</v>
      </c>
      <c r="C14" t="s">
        <v>30</v>
      </c>
      <c r="D14">
        <v>67</v>
      </c>
      <c r="E14" t="s">
        <v>39</v>
      </c>
      <c r="F14" t="s">
        <v>21</v>
      </c>
      <c r="G14" t="s">
        <v>64</v>
      </c>
      <c r="H14" t="s">
        <v>65</v>
      </c>
      <c r="I14">
        <v>28308</v>
      </c>
      <c r="J14" t="s">
        <v>42</v>
      </c>
    </row>
    <row r="15" spans="1:10" x14ac:dyDescent="0.3">
      <c r="A15" t="s">
        <v>66</v>
      </c>
      <c r="B15" t="s">
        <v>67</v>
      </c>
      <c r="C15" t="s">
        <v>30</v>
      </c>
      <c r="D15">
        <v>37</v>
      </c>
      <c r="E15" t="s">
        <v>34</v>
      </c>
      <c r="F15" t="s">
        <v>21</v>
      </c>
      <c r="G15" t="s">
        <v>35</v>
      </c>
      <c r="H15" t="s">
        <v>68</v>
      </c>
      <c r="I15">
        <v>35014</v>
      </c>
      <c r="J15" t="s">
        <v>42</v>
      </c>
    </row>
    <row r="16" spans="1:10" x14ac:dyDescent="0.3">
      <c r="A16" t="s">
        <v>69</v>
      </c>
      <c r="B16" t="s">
        <v>70</v>
      </c>
      <c r="C16" t="s">
        <v>12</v>
      </c>
      <c r="D16">
        <v>72</v>
      </c>
      <c r="E16" t="s">
        <v>39</v>
      </c>
      <c r="F16" t="s">
        <v>48</v>
      </c>
      <c r="G16" t="s">
        <v>15</v>
      </c>
      <c r="H16" t="s">
        <v>71</v>
      </c>
      <c r="I16">
        <v>13572</v>
      </c>
      <c r="J16" t="s">
        <v>42</v>
      </c>
    </row>
    <row r="17" spans="1:10" x14ac:dyDescent="0.3">
      <c r="A17" t="s">
        <v>72</v>
      </c>
      <c r="B17" t="s">
        <v>73</v>
      </c>
      <c r="C17" t="s">
        <v>30</v>
      </c>
      <c r="D17">
        <v>38</v>
      </c>
      <c r="E17" t="s">
        <v>39</v>
      </c>
      <c r="F17" t="s">
        <v>40</v>
      </c>
      <c r="G17" t="s">
        <v>35</v>
      </c>
      <c r="H17" t="s">
        <v>74</v>
      </c>
      <c r="I17">
        <v>43894</v>
      </c>
      <c r="J17" t="s">
        <v>17</v>
      </c>
    </row>
    <row r="18" spans="1:10" x14ac:dyDescent="0.3">
      <c r="A18" t="s">
        <v>75</v>
      </c>
      <c r="B18" t="s">
        <v>76</v>
      </c>
      <c r="C18" t="s">
        <v>30</v>
      </c>
      <c r="D18">
        <v>58</v>
      </c>
      <c r="E18" t="s">
        <v>13</v>
      </c>
      <c r="F18" t="s">
        <v>40</v>
      </c>
      <c r="G18" t="s">
        <v>26</v>
      </c>
      <c r="H18" t="s">
        <v>77</v>
      </c>
      <c r="I18">
        <v>3882</v>
      </c>
      <c r="J18" t="s">
        <v>17</v>
      </c>
    </row>
    <row r="19" spans="1:10" x14ac:dyDescent="0.3">
      <c r="A19" t="s">
        <v>78</v>
      </c>
      <c r="B19" t="s">
        <v>57</v>
      </c>
      <c r="C19" t="s">
        <v>12</v>
      </c>
      <c r="D19">
        <v>57</v>
      </c>
      <c r="E19" t="s">
        <v>20</v>
      </c>
      <c r="F19" t="s">
        <v>40</v>
      </c>
      <c r="G19" t="s">
        <v>35</v>
      </c>
      <c r="H19" t="s">
        <v>79</v>
      </c>
      <c r="I19">
        <v>46919</v>
      </c>
      <c r="J19" t="s">
        <v>17</v>
      </c>
    </row>
    <row r="20" spans="1:10" x14ac:dyDescent="0.3">
      <c r="A20" t="s">
        <v>80</v>
      </c>
      <c r="B20" t="s">
        <v>73</v>
      </c>
      <c r="C20" t="s">
        <v>12</v>
      </c>
      <c r="D20">
        <v>56</v>
      </c>
      <c r="E20" t="s">
        <v>13</v>
      </c>
      <c r="F20" t="s">
        <v>48</v>
      </c>
      <c r="G20" t="s">
        <v>64</v>
      </c>
      <c r="H20" t="s">
        <v>81</v>
      </c>
      <c r="I20">
        <v>41418</v>
      </c>
      <c r="J20" t="s">
        <v>42</v>
      </c>
    </row>
    <row r="21" spans="1:10" x14ac:dyDescent="0.3">
      <c r="A21" t="s">
        <v>82</v>
      </c>
      <c r="B21" t="s">
        <v>83</v>
      </c>
      <c r="C21" t="s">
        <v>30</v>
      </c>
      <c r="D21">
        <v>75</v>
      </c>
      <c r="E21" t="s">
        <v>39</v>
      </c>
      <c r="F21" t="s">
        <v>21</v>
      </c>
      <c r="G21" t="s">
        <v>35</v>
      </c>
      <c r="H21" t="s">
        <v>84</v>
      </c>
      <c r="I21">
        <v>15754</v>
      </c>
      <c r="J21" t="s">
        <v>42</v>
      </c>
    </row>
    <row r="22" spans="1:10" x14ac:dyDescent="0.3">
      <c r="A22" t="s">
        <v>85</v>
      </c>
      <c r="B22" t="s">
        <v>60</v>
      </c>
      <c r="C22" t="s">
        <v>30</v>
      </c>
      <c r="D22">
        <v>57</v>
      </c>
      <c r="E22" t="s">
        <v>34</v>
      </c>
      <c r="F22" t="s">
        <v>40</v>
      </c>
      <c r="G22" t="s">
        <v>39</v>
      </c>
      <c r="H22" t="s">
        <v>86</v>
      </c>
      <c r="I22">
        <v>26393</v>
      </c>
      <c r="J22" t="s">
        <v>42</v>
      </c>
    </row>
    <row r="23" spans="1:10" x14ac:dyDescent="0.3">
      <c r="A23" t="s">
        <v>87</v>
      </c>
      <c r="B23" t="s">
        <v>88</v>
      </c>
      <c r="C23" t="s">
        <v>12</v>
      </c>
      <c r="D23">
        <v>47</v>
      </c>
      <c r="E23" t="s">
        <v>39</v>
      </c>
      <c r="F23" t="s">
        <v>21</v>
      </c>
      <c r="G23" t="s">
        <v>15</v>
      </c>
      <c r="H23" t="s">
        <v>89</v>
      </c>
      <c r="I23">
        <v>6502</v>
      </c>
      <c r="J23" t="s">
        <v>17</v>
      </c>
    </row>
    <row r="24" spans="1:10" x14ac:dyDescent="0.3">
      <c r="A24" t="s">
        <v>90</v>
      </c>
      <c r="B24" t="s">
        <v>91</v>
      </c>
      <c r="C24" t="s">
        <v>12</v>
      </c>
      <c r="D24">
        <v>26</v>
      </c>
      <c r="E24" t="s">
        <v>51</v>
      </c>
      <c r="F24" t="s">
        <v>21</v>
      </c>
      <c r="G24" t="s">
        <v>26</v>
      </c>
      <c r="H24" t="s">
        <v>92</v>
      </c>
      <c r="I24">
        <v>3978</v>
      </c>
      <c r="J24" t="s">
        <v>42</v>
      </c>
    </row>
    <row r="25" spans="1:10" x14ac:dyDescent="0.3">
      <c r="A25" t="s">
        <v>93</v>
      </c>
      <c r="B25" t="s">
        <v>94</v>
      </c>
      <c r="C25" t="s">
        <v>12</v>
      </c>
      <c r="D25">
        <v>19</v>
      </c>
      <c r="E25" t="s">
        <v>34</v>
      </c>
      <c r="F25" t="s">
        <v>40</v>
      </c>
      <c r="G25" t="s">
        <v>15</v>
      </c>
      <c r="H25" t="s">
        <v>95</v>
      </c>
      <c r="I25">
        <v>9231</v>
      </c>
      <c r="J25" t="s">
        <v>17</v>
      </c>
    </row>
    <row r="26" spans="1:10" x14ac:dyDescent="0.3">
      <c r="A26" t="s">
        <v>96</v>
      </c>
      <c r="B26" t="s">
        <v>94</v>
      </c>
      <c r="C26" t="s">
        <v>12</v>
      </c>
      <c r="D26">
        <v>45</v>
      </c>
      <c r="E26" t="s">
        <v>13</v>
      </c>
      <c r="F26" t="s">
        <v>14</v>
      </c>
      <c r="G26" t="s">
        <v>35</v>
      </c>
      <c r="H26" t="s">
        <v>97</v>
      </c>
      <c r="I26">
        <v>10857</v>
      </c>
      <c r="J26" t="s">
        <v>42</v>
      </c>
    </row>
    <row r="27" spans="1:10" x14ac:dyDescent="0.3">
      <c r="A27" t="s">
        <v>98</v>
      </c>
      <c r="B27" t="s">
        <v>76</v>
      </c>
      <c r="C27" t="s">
        <v>30</v>
      </c>
      <c r="D27">
        <v>80</v>
      </c>
      <c r="E27" t="s">
        <v>20</v>
      </c>
      <c r="F27" t="s">
        <v>25</v>
      </c>
      <c r="G27" t="s">
        <v>35</v>
      </c>
      <c r="H27" t="s">
        <v>61</v>
      </c>
      <c r="I27">
        <v>43914</v>
      </c>
      <c r="J27" t="s">
        <v>17</v>
      </c>
    </row>
    <row r="28" spans="1:10" x14ac:dyDescent="0.3">
      <c r="A28" t="s">
        <v>99</v>
      </c>
      <c r="B28" t="s">
        <v>100</v>
      </c>
      <c r="C28" t="s">
        <v>30</v>
      </c>
      <c r="D28">
        <v>40</v>
      </c>
      <c r="E28" t="s">
        <v>13</v>
      </c>
      <c r="F28" t="s">
        <v>25</v>
      </c>
      <c r="G28" t="s">
        <v>26</v>
      </c>
      <c r="H28" t="s">
        <v>101</v>
      </c>
      <c r="I28">
        <v>40763</v>
      </c>
      <c r="J28" t="s">
        <v>42</v>
      </c>
    </row>
    <row r="29" spans="1:10" x14ac:dyDescent="0.3">
      <c r="A29" t="s">
        <v>102</v>
      </c>
      <c r="B29" t="s">
        <v>83</v>
      </c>
      <c r="C29" t="s">
        <v>30</v>
      </c>
      <c r="D29">
        <v>72</v>
      </c>
      <c r="E29" t="s">
        <v>51</v>
      </c>
      <c r="F29" t="s">
        <v>48</v>
      </c>
      <c r="G29" t="s">
        <v>15</v>
      </c>
      <c r="H29" t="s">
        <v>22</v>
      </c>
      <c r="I29">
        <v>24539</v>
      </c>
      <c r="J29" t="s">
        <v>17</v>
      </c>
    </row>
    <row r="30" spans="1:10" x14ac:dyDescent="0.3">
      <c r="A30" t="s">
        <v>103</v>
      </c>
      <c r="B30" t="s">
        <v>104</v>
      </c>
      <c r="C30" t="s">
        <v>12</v>
      </c>
      <c r="D30">
        <v>23</v>
      </c>
      <c r="E30" t="s">
        <v>39</v>
      </c>
      <c r="F30" t="s">
        <v>25</v>
      </c>
      <c r="G30" t="s">
        <v>15</v>
      </c>
      <c r="H30" t="s">
        <v>41</v>
      </c>
      <c r="I30">
        <v>10329</v>
      </c>
      <c r="J30" t="s">
        <v>42</v>
      </c>
    </row>
    <row r="31" spans="1:10" x14ac:dyDescent="0.3">
      <c r="A31" t="s">
        <v>105</v>
      </c>
      <c r="B31" t="s">
        <v>106</v>
      </c>
      <c r="C31" t="s">
        <v>30</v>
      </c>
      <c r="D31">
        <v>63</v>
      </c>
      <c r="E31" t="s">
        <v>34</v>
      </c>
      <c r="F31" t="s">
        <v>25</v>
      </c>
      <c r="G31" t="s">
        <v>64</v>
      </c>
      <c r="H31" t="s">
        <v>107</v>
      </c>
      <c r="I31">
        <v>29433</v>
      </c>
      <c r="J31" t="s">
        <v>42</v>
      </c>
    </row>
    <row r="32" spans="1:10" x14ac:dyDescent="0.3">
      <c r="A32" t="s">
        <v>108</v>
      </c>
      <c r="B32" t="s">
        <v>109</v>
      </c>
      <c r="C32" t="s">
        <v>12</v>
      </c>
      <c r="D32">
        <v>33</v>
      </c>
      <c r="E32" t="s">
        <v>13</v>
      </c>
      <c r="F32" t="s">
        <v>25</v>
      </c>
      <c r="G32" t="s">
        <v>26</v>
      </c>
      <c r="H32" t="s">
        <v>110</v>
      </c>
      <c r="I32">
        <v>41097</v>
      </c>
      <c r="J32" t="s">
        <v>42</v>
      </c>
    </row>
    <row r="33" spans="1:10" x14ac:dyDescent="0.3">
      <c r="A33" t="s">
        <v>111</v>
      </c>
      <c r="B33" t="s">
        <v>38</v>
      </c>
      <c r="C33" t="s">
        <v>12</v>
      </c>
      <c r="D33">
        <v>64</v>
      </c>
      <c r="E33" t="s">
        <v>13</v>
      </c>
      <c r="F33" t="s">
        <v>40</v>
      </c>
      <c r="G33" t="s">
        <v>35</v>
      </c>
      <c r="H33" t="s">
        <v>112</v>
      </c>
      <c r="I33">
        <v>2977</v>
      </c>
      <c r="J33" t="s">
        <v>17</v>
      </c>
    </row>
    <row r="34" spans="1:10" x14ac:dyDescent="0.3">
      <c r="A34" t="s">
        <v>113</v>
      </c>
      <c r="B34" t="s">
        <v>114</v>
      </c>
      <c r="C34" t="s">
        <v>30</v>
      </c>
      <c r="D34">
        <v>29</v>
      </c>
      <c r="E34" t="s">
        <v>51</v>
      </c>
      <c r="F34" t="s">
        <v>14</v>
      </c>
      <c r="G34" t="s">
        <v>15</v>
      </c>
      <c r="H34" t="s">
        <v>115</v>
      </c>
      <c r="I34">
        <v>48752</v>
      </c>
      <c r="J34" t="s">
        <v>42</v>
      </c>
    </row>
    <row r="35" spans="1:10" x14ac:dyDescent="0.3">
      <c r="A35" t="s">
        <v>116</v>
      </c>
      <c r="B35" t="s">
        <v>76</v>
      </c>
      <c r="C35" t="s">
        <v>30</v>
      </c>
      <c r="D35">
        <v>64</v>
      </c>
      <c r="E35" t="s">
        <v>51</v>
      </c>
      <c r="F35" t="s">
        <v>40</v>
      </c>
      <c r="G35" t="s">
        <v>15</v>
      </c>
      <c r="H35" t="s">
        <v>117</v>
      </c>
      <c r="I35">
        <v>23986</v>
      </c>
      <c r="J35" t="s">
        <v>42</v>
      </c>
    </row>
    <row r="36" spans="1:10" x14ac:dyDescent="0.3">
      <c r="A36" t="s">
        <v>118</v>
      </c>
      <c r="B36" t="s">
        <v>60</v>
      </c>
      <c r="C36" t="s">
        <v>12</v>
      </c>
      <c r="D36">
        <v>5</v>
      </c>
      <c r="E36" t="s">
        <v>20</v>
      </c>
      <c r="F36" t="s">
        <v>14</v>
      </c>
      <c r="G36" t="s">
        <v>64</v>
      </c>
      <c r="H36" t="s">
        <v>45</v>
      </c>
      <c r="I36">
        <v>15295</v>
      </c>
      <c r="J36" t="s">
        <v>17</v>
      </c>
    </row>
    <row r="37" spans="1:10" x14ac:dyDescent="0.3">
      <c r="A37" t="s">
        <v>119</v>
      </c>
      <c r="B37" t="s">
        <v>120</v>
      </c>
      <c r="C37" t="s">
        <v>30</v>
      </c>
      <c r="D37">
        <v>53</v>
      </c>
      <c r="E37" t="s">
        <v>20</v>
      </c>
      <c r="F37" t="s">
        <v>14</v>
      </c>
      <c r="G37" t="s">
        <v>26</v>
      </c>
      <c r="H37" t="s">
        <v>121</v>
      </c>
      <c r="I37">
        <v>31392</v>
      </c>
      <c r="J37" t="s">
        <v>17</v>
      </c>
    </row>
    <row r="38" spans="1:10" x14ac:dyDescent="0.3">
      <c r="A38" t="s">
        <v>122</v>
      </c>
      <c r="B38" t="s">
        <v>54</v>
      </c>
      <c r="C38" t="s">
        <v>30</v>
      </c>
      <c r="D38">
        <v>13</v>
      </c>
      <c r="E38" t="s">
        <v>34</v>
      </c>
      <c r="F38" t="s">
        <v>21</v>
      </c>
      <c r="G38" t="s">
        <v>35</v>
      </c>
      <c r="H38" t="s">
        <v>117</v>
      </c>
      <c r="I38">
        <v>36449</v>
      </c>
      <c r="J38" t="s">
        <v>42</v>
      </c>
    </row>
    <row r="39" spans="1:10" x14ac:dyDescent="0.3">
      <c r="A39" t="s">
        <v>123</v>
      </c>
      <c r="B39" t="s">
        <v>124</v>
      </c>
      <c r="C39" t="s">
        <v>30</v>
      </c>
      <c r="D39">
        <v>27</v>
      </c>
      <c r="E39" t="s">
        <v>34</v>
      </c>
      <c r="F39" t="s">
        <v>21</v>
      </c>
      <c r="G39" t="s">
        <v>39</v>
      </c>
      <c r="H39" t="s">
        <v>125</v>
      </c>
      <c r="I39">
        <v>18248</v>
      </c>
      <c r="J39" t="s">
        <v>17</v>
      </c>
    </row>
    <row r="40" spans="1:10" x14ac:dyDescent="0.3">
      <c r="A40" t="s">
        <v>126</v>
      </c>
      <c r="B40" t="s">
        <v>73</v>
      </c>
      <c r="C40" t="s">
        <v>30</v>
      </c>
      <c r="D40">
        <v>9</v>
      </c>
      <c r="E40" t="s">
        <v>39</v>
      </c>
      <c r="F40" t="s">
        <v>14</v>
      </c>
      <c r="G40" t="s">
        <v>39</v>
      </c>
      <c r="H40" t="s">
        <v>112</v>
      </c>
      <c r="I40">
        <v>14070</v>
      </c>
      <c r="J40" t="s">
        <v>17</v>
      </c>
    </row>
    <row r="41" spans="1:10" x14ac:dyDescent="0.3">
      <c r="A41" t="s">
        <v>127</v>
      </c>
      <c r="B41" t="s">
        <v>109</v>
      </c>
      <c r="C41" t="s">
        <v>12</v>
      </c>
      <c r="D41">
        <v>20</v>
      </c>
      <c r="E41" t="s">
        <v>39</v>
      </c>
      <c r="F41" t="s">
        <v>14</v>
      </c>
      <c r="G41" t="s">
        <v>15</v>
      </c>
      <c r="H41" t="s">
        <v>128</v>
      </c>
      <c r="I41">
        <v>25645</v>
      </c>
      <c r="J41" t="s">
        <v>17</v>
      </c>
    </row>
    <row r="42" spans="1:10" x14ac:dyDescent="0.3">
      <c r="A42" t="s">
        <v>129</v>
      </c>
      <c r="B42" t="s">
        <v>130</v>
      </c>
      <c r="C42" t="s">
        <v>30</v>
      </c>
      <c r="D42">
        <v>46</v>
      </c>
      <c r="E42" t="s">
        <v>20</v>
      </c>
      <c r="F42" t="s">
        <v>40</v>
      </c>
      <c r="G42" t="s">
        <v>15</v>
      </c>
      <c r="H42" t="s">
        <v>131</v>
      </c>
      <c r="I42">
        <v>23746</v>
      </c>
      <c r="J42" t="s">
        <v>42</v>
      </c>
    </row>
    <row r="43" spans="1:10" x14ac:dyDescent="0.3">
      <c r="A43" t="s">
        <v>132</v>
      </c>
      <c r="B43" t="s">
        <v>133</v>
      </c>
      <c r="C43" t="s">
        <v>12</v>
      </c>
      <c r="D43">
        <v>16</v>
      </c>
      <c r="E43" t="s">
        <v>20</v>
      </c>
      <c r="F43" t="s">
        <v>21</v>
      </c>
      <c r="G43" t="s">
        <v>64</v>
      </c>
      <c r="H43" t="s">
        <v>117</v>
      </c>
      <c r="I43">
        <v>2812</v>
      </c>
      <c r="J43" t="s">
        <v>42</v>
      </c>
    </row>
    <row r="44" spans="1:10" x14ac:dyDescent="0.3">
      <c r="A44" t="s">
        <v>134</v>
      </c>
      <c r="B44" t="s">
        <v>135</v>
      </c>
      <c r="C44" t="s">
        <v>12</v>
      </c>
      <c r="D44">
        <v>38</v>
      </c>
      <c r="E44" t="s">
        <v>20</v>
      </c>
      <c r="F44" t="s">
        <v>25</v>
      </c>
      <c r="G44" t="s">
        <v>15</v>
      </c>
      <c r="H44" t="s">
        <v>22</v>
      </c>
      <c r="I44">
        <v>34014</v>
      </c>
      <c r="J44" t="s">
        <v>42</v>
      </c>
    </row>
    <row r="45" spans="1:10" x14ac:dyDescent="0.3">
      <c r="A45" t="s">
        <v>136</v>
      </c>
      <c r="B45" t="s">
        <v>38</v>
      </c>
      <c r="C45" t="s">
        <v>30</v>
      </c>
      <c r="D45">
        <v>16</v>
      </c>
      <c r="E45" t="s">
        <v>34</v>
      </c>
      <c r="F45" t="s">
        <v>40</v>
      </c>
      <c r="G45" t="s">
        <v>26</v>
      </c>
      <c r="H45" t="s">
        <v>55</v>
      </c>
      <c r="I45">
        <v>22409</v>
      </c>
      <c r="J45" t="s">
        <v>42</v>
      </c>
    </row>
    <row r="46" spans="1:10" x14ac:dyDescent="0.3">
      <c r="A46" t="s">
        <v>137</v>
      </c>
      <c r="B46" t="s">
        <v>138</v>
      </c>
      <c r="C46" t="s">
        <v>30</v>
      </c>
      <c r="D46">
        <v>49</v>
      </c>
      <c r="E46" t="s">
        <v>51</v>
      </c>
      <c r="F46" t="s">
        <v>48</v>
      </c>
      <c r="G46" t="s">
        <v>35</v>
      </c>
      <c r="H46" t="s">
        <v>27</v>
      </c>
      <c r="I46">
        <v>38954</v>
      </c>
      <c r="J46" t="s">
        <v>17</v>
      </c>
    </row>
    <row r="47" spans="1:10" x14ac:dyDescent="0.3">
      <c r="A47" t="s">
        <v>139</v>
      </c>
      <c r="B47" t="s">
        <v>73</v>
      </c>
      <c r="C47" t="s">
        <v>12</v>
      </c>
      <c r="D47">
        <v>31</v>
      </c>
      <c r="E47" t="s">
        <v>34</v>
      </c>
      <c r="F47" t="s">
        <v>40</v>
      </c>
      <c r="G47" t="s">
        <v>64</v>
      </c>
      <c r="H47" t="s">
        <v>58</v>
      </c>
      <c r="I47">
        <v>5035</v>
      </c>
      <c r="J47" t="s">
        <v>17</v>
      </c>
    </row>
    <row r="48" spans="1:10" x14ac:dyDescent="0.3">
      <c r="A48" t="s">
        <v>140</v>
      </c>
      <c r="B48" t="s">
        <v>141</v>
      </c>
      <c r="C48" t="s">
        <v>30</v>
      </c>
      <c r="D48">
        <v>29</v>
      </c>
      <c r="E48" t="s">
        <v>13</v>
      </c>
      <c r="F48" t="s">
        <v>21</v>
      </c>
      <c r="G48" t="s">
        <v>35</v>
      </c>
      <c r="H48" t="s">
        <v>142</v>
      </c>
      <c r="I48">
        <v>46052</v>
      </c>
      <c r="J48" t="s">
        <v>17</v>
      </c>
    </row>
    <row r="49" spans="1:10" x14ac:dyDescent="0.3">
      <c r="A49" t="s">
        <v>143</v>
      </c>
      <c r="B49" t="s">
        <v>57</v>
      </c>
      <c r="C49" t="s">
        <v>12</v>
      </c>
      <c r="D49">
        <v>28</v>
      </c>
      <c r="E49" t="s">
        <v>39</v>
      </c>
      <c r="F49" t="s">
        <v>40</v>
      </c>
      <c r="G49" t="s">
        <v>64</v>
      </c>
      <c r="H49" t="s">
        <v>79</v>
      </c>
      <c r="I49">
        <v>34405</v>
      </c>
      <c r="J49" t="s">
        <v>17</v>
      </c>
    </row>
    <row r="50" spans="1:10" x14ac:dyDescent="0.3">
      <c r="A50" t="s">
        <v>144</v>
      </c>
      <c r="B50" t="s">
        <v>145</v>
      </c>
      <c r="C50" t="s">
        <v>12</v>
      </c>
      <c r="D50">
        <v>56</v>
      </c>
      <c r="E50" t="s">
        <v>39</v>
      </c>
      <c r="F50" t="s">
        <v>14</v>
      </c>
      <c r="G50" t="s">
        <v>64</v>
      </c>
      <c r="H50" t="s">
        <v>146</v>
      </c>
      <c r="I50">
        <v>26472</v>
      </c>
      <c r="J50" t="s">
        <v>42</v>
      </c>
    </row>
    <row r="51" spans="1:10" x14ac:dyDescent="0.3">
      <c r="A51" t="s">
        <v>147</v>
      </c>
      <c r="B51" t="s">
        <v>148</v>
      </c>
      <c r="C51" t="s">
        <v>30</v>
      </c>
      <c r="D51">
        <v>61</v>
      </c>
      <c r="E51" t="s">
        <v>51</v>
      </c>
      <c r="F51" t="s">
        <v>48</v>
      </c>
      <c r="G51" t="s">
        <v>64</v>
      </c>
      <c r="H51" t="s">
        <v>142</v>
      </c>
      <c r="I51">
        <v>5249</v>
      </c>
      <c r="J5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2C5F-8B72-4A6B-A37D-D3AE6B4DD361}">
  <dimension ref="A1:M51"/>
  <sheetViews>
    <sheetView tabSelected="1" workbookViewId="0">
      <pane ySplit="1" topLeftCell="A2" activePane="bottomLeft" state="frozen"/>
      <selection pane="bottomLeft" activeCell="T18" sqref="T18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10" bestFit="1" customWidth="1"/>
    <col min="7" max="7" width="7.77734375" bestFit="1" customWidth="1"/>
    <col min="8" max="8" width="16.88671875" bestFit="1" customWidth="1"/>
    <col min="9" max="9" width="13.5546875" bestFit="1" customWidth="1"/>
    <col min="10" max="10" width="17.109375" bestFit="1" customWidth="1"/>
    <col min="13" max="13" width="10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3">
      <c r="A2" t="s">
        <v>10</v>
      </c>
      <c r="B2" t="s">
        <v>11</v>
      </c>
      <c r="C2" t="s">
        <v>12</v>
      </c>
      <c r="D2">
        <v>38</v>
      </c>
      <c r="E2" t="s">
        <v>13</v>
      </c>
      <c r="F2" t="s">
        <v>14</v>
      </c>
      <c r="G2" t="s">
        <v>15</v>
      </c>
      <c r="H2" t="s">
        <v>16</v>
      </c>
      <c r="I2">
        <v>27219</v>
      </c>
      <c r="J2" t="s">
        <v>17</v>
      </c>
    </row>
    <row r="3" spans="1:13" x14ac:dyDescent="0.3">
      <c r="A3" t="s">
        <v>18</v>
      </c>
      <c r="B3" t="s">
        <v>19</v>
      </c>
      <c r="C3" t="s">
        <v>12</v>
      </c>
      <c r="D3">
        <v>43</v>
      </c>
      <c r="E3" t="s">
        <v>20</v>
      </c>
      <c r="F3" t="s">
        <v>21</v>
      </c>
      <c r="G3" t="s">
        <v>15</v>
      </c>
      <c r="H3" t="s">
        <v>22</v>
      </c>
      <c r="I3">
        <v>46336</v>
      </c>
      <c r="J3" t="s">
        <v>17</v>
      </c>
      <c r="M3" t="s">
        <v>149</v>
      </c>
    </row>
    <row r="4" spans="1:13" x14ac:dyDescent="0.3">
      <c r="A4" t="s">
        <v>23</v>
      </c>
      <c r="B4" t="s">
        <v>24</v>
      </c>
      <c r="C4" t="s">
        <v>12</v>
      </c>
      <c r="D4">
        <v>7</v>
      </c>
      <c r="E4" t="s">
        <v>20</v>
      </c>
      <c r="F4" t="s">
        <v>25</v>
      </c>
      <c r="G4" t="s">
        <v>26</v>
      </c>
      <c r="H4" t="s">
        <v>27</v>
      </c>
      <c r="I4">
        <v>38238</v>
      </c>
      <c r="J4" t="s">
        <v>17</v>
      </c>
      <c r="M4">
        <f>COUNT(Table1[Age])</f>
        <v>50</v>
      </c>
    </row>
    <row r="5" spans="1:13" x14ac:dyDescent="0.3">
      <c r="A5" t="s">
        <v>28</v>
      </c>
      <c r="B5" t="s">
        <v>29</v>
      </c>
      <c r="C5" t="s">
        <v>30</v>
      </c>
      <c r="D5">
        <v>7</v>
      </c>
      <c r="E5" t="s">
        <v>13</v>
      </c>
      <c r="F5" t="s">
        <v>14</v>
      </c>
      <c r="G5" t="s">
        <v>26</v>
      </c>
      <c r="H5" t="s">
        <v>31</v>
      </c>
      <c r="I5">
        <v>41971</v>
      </c>
      <c r="J5" t="s">
        <v>17</v>
      </c>
      <c r="M5" s="1"/>
    </row>
    <row r="6" spans="1:13" x14ac:dyDescent="0.3">
      <c r="A6" t="s">
        <v>32</v>
      </c>
      <c r="B6" t="s">
        <v>33</v>
      </c>
      <c r="C6" t="s">
        <v>30</v>
      </c>
      <c r="D6">
        <v>7</v>
      </c>
      <c r="E6" t="s">
        <v>34</v>
      </c>
      <c r="F6" t="s">
        <v>25</v>
      </c>
      <c r="G6" t="s">
        <v>35</v>
      </c>
      <c r="H6" t="s">
        <v>36</v>
      </c>
      <c r="I6">
        <v>37697</v>
      </c>
      <c r="J6" t="s">
        <v>17</v>
      </c>
    </row>
    <row r="7" spans="1:13" x14ac:dyDescent="0.3">
      <c r="A7" t="s">
        <v>37</v>
      </c>
      <c r="B7" t="s">
        <v>38</v>
      </c>
      <c r="C7" t="s">
        <v>12</v>
      </c>
      <c r="D7">
        <v>40</v>
      </c>
      <c r="E7" t="s">
        <v>39</v>
      </c>
      <c r="F7" t="s">
        <v>40</v>
      </c>
      <c r="G7" t="s">
        <v>15</v>
      </c>
      <c r="H7" t="s">
        <v>41</v>
      </c>
      <c r="I7">
        <v>45861</v>
      </c>
      <c r="J7" t="s">
        <v>42</v>
      </c>
    </row>
    <row r="8" spans="1:13" x14ac:dyDescent="0.3">
      <c r="A8" t="s">
        <v>43</v>
      </c>
      <c r="B8" t="s">
        <v>44</v>
      </c>
      <c r="C8" t="s">
        <v>12</v>
      </c>
      <c r="D8">
        <v>52</v>
      </c>
      <c r="E8" t="s">
        <v>34</v>
      </c>
      <c r="F8" t="s">
        <v>21</v>
      </c>
      <c r="G8" t="s">
        <v>35</v>
      </c>
      <c r="H8" t="s">
        <v>45</v>
      </c>
      <c r="I8">
        <v>20411</v>
      </c>
      <c r="J8" t="s">
        <v>17</v>
      </c>
      <c r="M8" t="s">
        <v>150</v>
      </c>
    </row>
    <row r="9" spans="1:13" x14ac:dyDescent="0.3">
      <c r="A9" t="s">
        <v>46</v>
      </c>
      <c r="B9" t="s">
        <v>47</v>
      </c>
      <c r="C9" t="s">
        <v>30</v>
      </c>
      <c r="D9">
        <v>31</v>
      </c>
      <c r="E9" t="s">
        <v>20</v>
      </c>
      <c r="F9" t="s">
        <v>48</v>
      </c>
      <c r="G9" t="s">
        <v>35</v>
      </c>
      <c r="H9" t="s">
        <v>49</v>
      </c>
      <c r="I9">
        <v>7299</v>
      </c>
      <c r="J9" t="s">
        <v>17</v>
      </c>
      <c r="M9">
        <f>COUNTIF(Table1[Gender],"Female")</f>
        <v>24</v>
      </c>
    </row>
    <row r="10" spans="1:13" x14ac:dyDescent="0.3">
      <c r="A10" t="s">
        <v>50</v>
      </c>
      <c r="B10" t="s">
        <v>29</v>
      </c>
      <c r="C10" t="s">
        <v>30</v>
      </c>
      <c r="D10">
        <v>16</v>
      </c>
      <c r="E10" t="s">
        <v>51</v>
      </c>
      <c r="F10" t="s">
        <v>40</v>
      </c>
      <c r="G10" t="s">
        <v>39</v>
      </c>
      <c r="H10" t="s">
        <v>52</v>
      </c>
      <c r="I10">
        <v>28251</v>
      </c>
      <c r="J10" t="s">
        <v>42</v>
      </c>
    </row>
    <row r="11" spans="1:13" x14ac:dyDescent="0.3">
      <c r="A11" t="s">
        <v>53</v>
      </c>
      <c r="B11" t="s">
        <v>54</v>
      </c>
      <c r="C11" t="s">
        <v>30</v>
      </c>
      <c r="D11">
        <v>10</v>
      </c>
      <c r="E11" t="s">
        <v>34</v>
      </c>
      <c r="F11" t="s">
        <v>40</v>
      </c>
      <c r="G11" t="s">
        <v>15</v>
      </c>
      <c r="H11" t="s">
        <v>55</v>
      </c>
      <c r="I11">
        <v>17485</v>
      </c>
      <c r="J11" t="s">
        <v>17</v>
      </c>
    </row>
    <row r="12" spans="1:13" x14ac:dyDescent="0.3">
      <c r="A12" t="s">
        <v>56</v>
      </c>
      <c r="B12" t="s">
        <v>57</v>
      </c>
      <c r="C12" t="s">
        <v>12</v>
      </c>
      <c r="D12">
        <v>32</v>
      </c>
      <c r="E12" t="s">
        <v>13</v>
      </c>
      <c r="F12" t="s">
        <v>25</v>
      </c>
      <c r="G12" t="s">
        <v>15</v>
      </c>
      <c r="H12" t="s">
        <v>58</v>
      </c>
      <c r="I12">
        <v>44912</v>
      </c>
      <c r="J12" t="s">
        <v>17</v>
      </c>
    </row>
    <row r="13" spans="1:13" x14ac:dyDescent="0.3">
      <c r="A13" t="s">
        <v>59</v>
      </c>
      <c r="B13" t="s">
        <v>60</v>
      </c>
      <c r="C13" t="s">
        <v>12</v>
      </c>
      <c r="D13">
        <v>79</v>
      </c>
      <c r="E13" t="s">
        <v>34</v>
      </c>
      <c r="F13" t="s">
        <v>25</v>
      </c>
      <c r="G13" t="s">
        <v>35</v>
      </c>
      <c r="H13" t="s">
        <v>61</v>
      </c>
      <c r="I13">
        <v>33781</v>
      </c>
      <c r="J13" t="s">
        <v>42</v>
      </c>
      <c r="M13" t="s">
        <v>151</v>
      </c>
    </row>
    <row r="14" spans="1:13" x14ac:dyDescent="0.3">
      <c r="A14" t="s">
        <v>62</v>
      </c>
      <c r="B14" t="s">
        <v>63</v>
      </c>
      <c r="C14" t="s">
        <v>30</v>
      </c>
      <c r="D14">
        <v>67</v>
      </c>
      <c r="E14" t="s">
        <v>39</v>
      </c>
      <c r="F14" t="s">
        <v>21</v>
      </c>
      <c r="G14" t="s">
        <v>64</v>
      </c>
      <c r="H14" t="s">
        <v>65</v>
      </c>
      <c r="I14">
        <v>28308</v>
      </c>
      <c r="J14" t="s">
        <v>42</v>
      </c>
      <c r="M14">
        <f>COUNTIFS(Table1[Gender],"MALE",Table1[Department],"CARDIOLOGY")</f>
        <v>4</v>
      </c>
    </row>
    <row r="15" spans="1:13" x14ac:dyDescent="0.3">
      <c r="A15" t="s">
        <v>66</v>
      </c>
      <c r="B15" t="s">
        <v>67</v>
      </c>
      <c r="C15" t="s">
        <v>30</v>
      </c>
      <c r="D15">
        <v>37</v>
      </c>
      <c r="E15" t="s">
        <v>34</v>
      </c>
      <c r="F15" t="s">
        <v>21</v>
      </c>
      <c r="G15" t="s">
        <v>35</v>
      </c>
      <c r="H15" t="s">
        <v>68</v>
      </c>
      <c r="I15">
        <v>35014</v>
      </c>
      <c r="J15" t="s">
        <v>42</v>
      </c>
    </row>
    <row r="16" spans="1:13" x14ac:dyDescent="0.3">
      <c r="A16" t="s">
        <v>69</v>
      </c>
      <c r="B16" t="s">
        <v>70</v>
      </c>
      <c r="C16" t="s">
        <v>12</v>
      </c>
      <c r="D16">
        <v>72</v>
      </c>
      <c r="E16" t="s">
        <v>39</v>
      </c>
      <c r="F16" t="s">
        <v>48</v>
      </c>
      <c r="G16" t="s">
        <v>15</v>
      </c>
      <c r="H16" t="s">
        <v>71</v>
      </c>
      <c r="I16">
        <v>13572</v>
      </c>
      <c r="J16" t="s">
        <v>42</v>
      </c>
    </row>
    <row r="17" spans="1:13" x14ac:dyDescent="0.3">
      <c r="A17" t="s">
        <v>72</v>
      </c>
      <c r="B17" t="s">
        <v>73</v>
      </c>
      <c r="C17" t="s">
        <v>30</v>
      </c>
      <c r="D17">
        <v>38</v>
      </c>
      <c r="E17" t="s">
        <v>39</v>
      </c>
      <c r="F17" t="s">
        <v>40</v>
      </c>
      <c r="G17" t="s">
        <v>35</v>
      </c>
      <c r="H17" t="s">
        <v>74</v>
      </c>
      <c r="I17">
        <v>43894</v>
      </c>
      <c r="J17" t="s">
        <v>17</v>
      </c>
    </row>
    <row r="18" spans="1:13" x14ac:dyDescent="0.3">
      <c r="A18" t="s">
        <v>75</v>
      </c>
      <c r="B18" t="s">
        <v>76</v>
      </c>
      <c r="C18" t="s">
        <v>30</v>
      </c>
      <c r="D18">
        <v>58</v>
      </c>
      <c r="E18" t="s">
        <v>13</v>
      </c>
      <c r="F18" t="s">
        <v>40</v>
      </c>
      <c r="G18" t="s">
        <v>26</v>
      </c>
      <c r="H18" t="s">
        <v>77</v>
      </c>
      <c r="I18">
        <v>3882</v>
      </c>
      <c r="J18" t="s">
        <v>17</v>
      </c>
      <c r="M18" t="s">
        <v>153</v>
      </c>
    </row>
    <row r="19" spans="1:13" x14ac:dyDescent="0.3">
      <c r="A19" t="s">
        <v>78</v>
      </c>
      <c r="B19" t="s">
        <v>57</v>
      </c>
      <c r="C19" t="s">
        <v>12</v>
      </c>
      <c r="D19">
        <v>57</v>
      </c>
      <c r="E19" t="s">
        <v>20</v>
      </c>
      <c r="F19" t="s">
        <v>40</v>
      </c>
      <c r="G19" t="s">
        <v>35</v>
      </c>
      <c r="H19" t="s">
        <v>79</v>
      </c>
      <c r="I19">
        <v>46919</v>
      </c>
      <c r="J19" t="s">
        <v>17</v>
      </c>
      <c r="M19" t="str">
        <f>VLOOKUP("P029",A2:J51,5,0)</f>
        <v>General</v>
      </c>
    </row>
    <row r="20" spans="1:13" x14ac:dyDescent="0.3">
      <c r="A20" t="s">
        <v>80</v>
      </c>
      <c r="B20" t="s">
        <v>73</v>
      </c>
      <c r="C20" t="s">
        <v>12</v>
      </c>
      <c r="D20">
        <v>56</v>
      </c>
      <c r="E20" t="s">
        <v>13</v>
      </c>
      <c r="F20" t="s">
        <v>48</v>
      </c>
      <c r="G20" t="s">
        <v>64</v>
      </c>
      <c r="H20" t="s">
        <v>81</v>
      </c>
      <c r="I20">
        <v>41418</v>
      </c>
      <c r="J20" t="s">
        <v>42</v>
      </c>
    </row>
    <row r="21" spans="1:13" x14ac:dyDescent="0.3">
      <c r="A21" t="s">
        <v>82</v>
      </c>
      <c r="B21" t="s">
        <v>83</v>
      </c>
      <c r="C21" t="s">
        <v>30</v>
      </c>
      <c r="D21">
        <v>75</v>
      </c>
      <c r="E21" t="s">
        <v>39</v>
      </c>
      <c r="F21" t="s">
        <v>21</v>
      </c>
      <c r="G21" t="s">
        <v>35</v>
      </c>
      <c r="H21" t="s">
        <v>84</v>
      </c>
      <c r="I21">
        <v>15754</v>
      </c>
      <c r="J21" t="s">
        <v>42</v>
      </c>
    </row>
    <row r="22" spans="1:13" x14ac:dyDescent="0.3">
      <c r="A22" t="s">
        <v>85</v>
      </c>
      <c r="B22" t="s">
        <v>60</v>
      </c>
      <c r="C22" t="s">
        <v>30</v>
      </c>
      <c r="D22">
        <v>57</v>
      </c>
      <c r="E22" t="s">
        <v>34</v>
      </c>
      <c r="F22" t="s">
        <v>40</v>
      </c>
      <c r="G22" t="s">
        <v>39</v>
      </c>
      <c r="H22" t="s">
        <v>86</v>
      </c>
      <c r="I22">
        <v>26393</v>
      </c>
      <c r="J22" t="s">
        <v>42</v>
      </c>
    </row>
    <row r="23" spans="1:13" x14ac:dyDescent="0.3">
      <c r="A23" t="s">
        <v>87</v>
      </c>
      <c r="B23" t="s">
        <v>88</v>
      </c>
      <c r="C23" t="s">
        <v>12</v>
      </c>
      <c r="D23">
        <v>47</v>
      </c>
      <c r="E23" t="s">
        <v>39</v>
      </c>
      <c r="F23" t="s">
        <v>21</v>
      </c>
      <c r="G23" t="s">
        <v>15</v>
      </c>
      <c r="H23" t="s">
        <v>89</v>
      </c>
      <c r="I23">
        <v>6502</v>
      </c>
      <c r="J23" t="s">
        <v>17</v>
      </c>
    </row>
    <row r="24" spans="1:13" x14ac:dyDescent="0.3">
      <c r="A24" t="s">
        <v>90</v>
      </c>
      <c r="B24" t="s">
        <v>91</v>
      </c>
      <c r="C24" t="s">
        <v>12</v>
      </c>
      <c r="D24">
        <v>26</v>
      </c>
      <c r="E24" t="s">
        <v>51</v>
      </c>
      <c r="F24" t="s">
        <v>21</v>
      </c>
      <c r="G24" t="s">
        <v>26</v>
      </c>
      <c r="H24" t="s">
        <v>92</v>
      </c>
      <c r="I24">
        <v>3978</v>
      </c>
      <c r="J24" t="s">
        <v>42</v>
      </c>
    </row>
    <row r="25" spans="1:13" x14ac:dyDescent="0.3">
      <c r="A25" t="s">
        <v>93</v>
      </c>
      <c r="B25" t="s">
        <v>94</v>
      </c>
      <c r="C25" t="s">
        <v>12</v>
      </c>
      <c r="D25">
        <v>19</v>
      </c>
      <c r="E25" t="s">
        <v>34</v>
      </c>
      <c r="F25" t="s">
        <v>40</v>
      </c>
      <c r="G25" t="s">
        <v>15</v>
      </c>
      <c r="H25" t="s">
        <v>95</v>
      </c>
      <c r="I25">
        <v>9231</v>
      </c>
      <c r="J25" t="s">
        <v>17</v>
      </c>
      <c r="M25" t="s">
        <v>152</v>
      </c>
    </row>
    <row r="26" spans="1:13" x14ac:dyDescent="0.3">
      <c r="A26" t="s">
        <v>96</v>
      </c>
      <c r="B26" t="s">
        <v>94</v>
      </c>
      <c r="C26" t="s">
        <v>12</v>
      </c>
      <c r="D26">
        <v>45</v>
      </c>
      <c r="E26" t="s">
        <v>13</v>
      </c>
      <c r="F26" t="s">
        <v>14</v>
      </c>
      <c r="G26" t="s">
        <v>35</v>
      </c>
      <c r="H26" t="s">
        <v>97</v>
      </c>
      <c r="I26">
        <v>10857</v>
      </c>
      <c r="J26" t="s">
        <v>42</v>
      </c>
      <c r="M26">
        <f>SUMIFS(I2:I51,F2:F51,"Dr. Singh",Table1[Ward],"ICU",Table1[Payment_Status],"Pending")</f>
        <v>93790</v>
      </c>
    </row>
    <row r="27" spans="1:13" x14ac:dyDescent="0.3">
      <c r="A27" t="s">
        <v>98</v>
      </c>
      <c r="B27" t="s">
        <v>76</v>
      </c>
      <c r="C27" t="s">
        <v>30</v>
      </c>
      <c r="D27">
        <v>80</v>
      </c>
      <c r="E27" t="s">
        <v>20</v>
      </c>
      <c r="F27" t="s">
        <v>25</v>
      </c>
      <c r="G27" t="s">
        <v>35</v>
      </c>
      <c r="H27" t="s">
        <v>61</v>
      </c>
      <c r="I27">
        <v>43914</v>
      </c>
      <c r="J27" t="s">
        <v>17</v>
      </c>
    </row>
    <row r="28" spans="1:13" x14ac:dyDescent="0.3">
      <c r="A28" t="s">
        <v>99</v>
      </c>
      <c r="B28" t="s">
        <v>100</v>
      </c>
      <c r="C28" t="s">
        <v>30</v>
      </c>
      <c r="D28">
        <v>40</v>
      </c>
      <c r="E28" t="s">
        <v>13</v>
      </c>
      <c r="F28" t="s">
        <v>25</v>
      </c>
      <c r="G28" t="s">
        <v>26</v>
      </c>
      <c r="H28" t="s">
        <v>101</v>
      </c>
      <c r="I28">
        <v>40763</v>
      </c>
      <c r="J28" t="s">
        <v>42</v>
      </c>
    </row>
    <row r="29" spans="1:13" x14ac:dyDescent="0.3">
      <c r="A29" t="s">
        <v>102</v>
      </c>
      <c r="B29" t="s">
        <v>83</v>
      </c>
      <c r="C29" t="s">
        <v>30</v>
      </c>
      <c r="D29">
        <v>72</v>
      </c>
      <c r="E29" t="s">
        <v>51</v>
      </c>
      <c r="F29" t="s">
        <v>48</v>
      </c>
      <c r="G29" t="s">
        <v>15</v>
      </c>
      <c r="H29" t="s">
        <v>22</v>
      </c>
      <c r="I29">
        <v>24539</v>
      </c>
      <c r="J29" t="s">
        <v>17</v>
      </c>
    </row>
    <row r="30" spans="1:13" x14ac:dyDescent="0.3">
      <c r="A30" t="s">
        <v>103</v>
      </c>
      <c r="B30" t="s">
        <v>104</v>
      </c>
      <c r="C30" t="s">
        <v>12</v>
      </c>
      <c r="D30">
        <v>23</v>
      </c>
      <c r="E30" t="s">
        <v>39</v>
      </c>
      <c r="F30" t="s">
        <v>25</v>
      </c>
      <c r="G30" t="s">
        <v>15</v>
      </c>
      <c r="H30" t="s">
        <v>41</v>
      </c>
      <c r="I30">
        <v>10329</v>
      </c>
      <c r="J30" t="s">
        <v>42</v>
      </c>
    </row>
    <row r="31" spans="1:13" x14ac:dyDescent="0.3">
      <c r="A31" t="s">
        <v>105</v>
      </c>
      <c r="B31" t="s">
        <v>106</v>
      </c>
      <c r="C31" t="s">
        <v>30</v>
      </c>
      <c r="D31">
        <v>63</v>
      </c>
      <c r="E31" t="s">
        <v>34</v>
      </c>
      <c r="F31" t="s">
        <v>25</v>
      </c>
      <c r="G31" t="s">
        <v>64</v>
      </c>
      <c r="H31" t="s">
        <v>107</v>
      </c>
      <c r="I31">
        <v>29433</v>
      </c>
      <c r="J31" t="s">
        <v>42</v>
      </c>
    </row>
    <row r="32" spans="1:13" x14ac:dyDescent="0.3">
      <c r="A32" t="s">
        <v>108</v>
      </c>
      <c r="B32" t="s">
        <v>109</v>
      </c>
      <c r="C32" t="s">
        <v>12</v>
      </c>
      <c r="D32">
        <v>33</v>
      </c>
      <c r="E32" t="s">
        <v>13</v>
      </c>
      <c r="F32" t="s">
        <v>25</v>
      </c>
      <c r="G32" t="s">
        <v>26</v>
      </c>
      <c r="H32" t="s">
        <v>110</v>
      </c>
      <c r="I32">
        <v>41097</v>
      </c>
      <c r="J32" t="s">
        <v>42</v>
      </c>
    </row>
    <row r="33" spans="1:10" x14ac:dyDescent="0.3">
      <c r="A33" t="s">
        <v>111</v>
      </c>
      <c r="B33" t="s">
        <v>38</v>
      </c>
      <c r="C33" t="s">
        <v>12</v>
      </c>
      <c r="D33">
        <v>64</v>
      </c>
      <c r="E33" t="s">
        <v>13</v>
      </c>
      <c r="F33" t="s">
        <v>40</v>
      </c>
      <c r="G33" t="s">
        <v>35</v>
      </c>
      <c r="H33" t="s">
        <v>112</v>
      </c>
      <c r="I33">
        <v>2977</v>
      </c>
      <c r="J33" t="s">
        <v>17</v>
      </c>
    </row>
    <row r="34" spans="1:10" x14ac:dyDescent="0.3">
      <c r="A34" t="s">
        <v>113</v>
      </c>
      <c r="B34" t="s">
        <v>114</v>
      </c>
      <c r="C34" t="s">
        <v>30</v>
      </c>
      <c r="D34">
        <v>29</v>
      </c>
      <c r="E34" t="s">
        <v>51</v>
      </c>
      <c r="F34" t="s">
        <v>14</v>
      </c>
      <c r="G34" t="s">
        <v>15</v>
      </c>
      <c r="H34" t="s">
        <v>115</v>
      </c>
      <c r="I34">
        <v>48752</v>
      </c>
      <c r="J34" t="s">
        <v>42</v>
      </c>
    </row>
    <row r="35" spans="1:10" x14ac:dyDescent="0.3">
      <c r="A35" t="s">
        <v>116</v>
      </c>
      <c r="B35" t="s">
        <v>76</v>
      </c>
      <c r="C35" t="s">
        <v>30</v>
      </c>
      <c r="D35">
        <v>64</v>
      </c>
      <c r="E35" t="s">
        <v>51</v>
      </c>
      <c r="F35" t="s">
        <v>40</v>
      </c>
      <c r="G35" t="s">
        <v>15</v>
      </c>
      <c r="H35" t="s">
        <v>117</v>
      </c>
      <c r="I35">
        <v>23986</v>
      </c>
      <c r="J35" t="s">
        <v>42</v>
      </c>
    </row>
    <row r="36" spans="1:10" x14ac:dyDescent="0.3">
      <c r="A36" t="s">
        <v>118</v>
      </c>
      <c r="B36" t="s">
        <v>60</v>
      </c>
      <c r="C36" t="s">
        <v>12</v>
      </c>
      <c r="D36">
        <v>5</v>
      </c>
      <c r="E36" t="s">
        <v>20</v>
      </c>
      <c r="F36" t="s">
        <v>14</v>
      </c>
      <c r="G36" t="s">
        <v>64</v>
      </c>
      <c r="H36" t="s">
        <v>45</v>
      </c>
      <c r="I36">
        <v>15295</v>
      </c>
      <c r="J36" t="s">
        <v>17</v>
      </c>
    </row>
    <row r="37" spans="1:10" x14ac:dyDescent="0.3">
      <c r="A37" t="s">
        <v>119</v>
      </c>
      <c r="B37" t="s">
        <v>120</v>
      </c>
      <c r="C37" t="s">
        <v>30</v>
      </c>
      <c r="D37">
        <v>53</v>
      </c>
      <c r="E37" t="s">
        <v>20</v>
      </c>
      <c r="F37" t="s">
        <v>14</v>
      </c>
      <c r="G37" t="s">
        <v>26</v>
      </c>
      <c r="H37" t="s">
        <v>121</v>
      </c>
      <c r="I37">
        <v>31392</v>
      </c>
      <c r="J37" t="s">
        <v>17</v>
      </c>
    </row>
    <row r="38" spans="1:10" x14ac:dyDescent="0.3">
      <c r="A38" t="s">
        <v>122</v>
      </c>
      <c r="B38" t="s">
        <v>54</v>
      </c>
      <c r="C38" t="s">
        <v>30</v>
      </c>
      <c r="D38">
        <v>13</v>
      </c>
      <c r="E38" t="s">
        <v>34</v>
      </c>
      <c r="F38" t="s">
        <v>21</v>
      </c>
      <c r="G38" t="s">
        <v>35</v>
      </c>
      <c r="H38" t="s">
        <v>117</v>
      </c>
      <c r="I38">
        <v>36449</v>
      </c>
      <c r="J38" t="s">
        <v>42</v>
      </c>
    </row>
    <row r="39" spans="1:10" x14ac:dyDescent="0.3">
      <c r="A39" t="s">
        <v>123</v>
      </c>
      <c r="B39" t="s">
        <v>124</v>
      </c>
      <c r="C39" t="s">
        <v>30</v>
      </c>
      <c r="D39">
        <v>27</v>
      </c>
      <c r="E39" t="s">
        <v>34</v>
      </c>
      <c r="F39" t="s">
        <v>21</v>
      </c>
      <c r="G39" t="s">
        <v>39</v>
      </c>
      <c r="H39" t="s">
        <v>125</v>
      </c>
      <c r="I39">
        <v>18248</v>
      </c>
      <c r="J39" t="s">
        <v>17</v>
      </c>
    </row>
    <row r="40" spans="1:10" x14ac:dyDescent="0.3">
      <c r="A40" t="s">
        <v>126</v>
      </c>
      <c r="B40" t="s">
        <v>73</v>
      </c>
      <c r="C40" t="s">
        <v>30</v>
      </c>
      <c r="D40">
        <v>9</v>
      </c>
      <c r="E40" t="s">
        <v>39</v>
      </c>
      <c r="F40" t="s">
        <v>14</v>
      </c>
      <c r="G40" t="s">
        <v>39</v>
      </c>
      <c r="H40" t="s">
        <v>112</v>
      </c>
      <c r="I40">
        <v>14070</v>
      </c>
      <c r="J40" t="s">
        <v>17</v>
      </c>
    </row>
    <row r="41" spans="1:10" x14ac:dyDescent="0.3">
      <c r="A41" t="s">
        <v>127</v>
      </c>
      <c r="B41" t="s">
        <v>109</v>
      </c>
      <c r="C41" t="s">
        <v>12</v>
      </c>
      <c r="D41">
        <v>20</v>
      </c>
      <c r="E41" t="s">
        <v>39</v>
      </c>
      <c r="F41" t="s">
        <v>14</v>
      </c>
      <c r="G41" t="s">
        <v>15</v>
      </c>
      <c r="H41" t="s">
        <v>128</v>
      </c>
      <c r="I41">
        <v>25645</v>
      </c>
      <c r="J41" t="s">
        <v>17</v>
      </c>
    </row>
    <row r="42" spans="1:10" x14ac:dyDescent="0.3">
      <c r="A42" t="s">
        <v>129</v>
      </c>
      <c r="B42" t="s">
        <v>130</v>
      </c>
      <c r="C42" t="s">
        <v>30</v>
      </c>
      <c r="D42">
        <v>46</v>
      </c>
      <c r="E42" t="s">
        <v>20</v>
      </c>
      <c r="F42" t="s">
        <v>40</v>
      </c>
      <c r="G42" t="s">
        <v>15</v>
      </c>
      <c r="H42" t="s">
        <v>131</v>
      </c>
      <c r="I42">
        <v>23746</v>
      </c>
      <c r="J42" t="s">
        <v>42</v>
      </c>
    </row>
    <row r="43" spans="1:10" x14ac:dyDescent="0.3">
      <c r="A43" t="s">
        <v>132</v>
      </c>
      <c r="B43" t="s">
        <v>133</v>
      </c>
      <c r="C43" t="s">
        <v>12</v>
      </c>
      <c r="D43">
        <v>16</v>
      </c>
      <c r="E43" t="s">
        <v>20</v>
      </c>
      <c r="F43" t="s">
        <v>21</v>
      </c>
      <c r="G43" t="s">
        <v>64</v>
      </c>
      <c r="H43" t="s">
        <v>117</v>
      </c>
      <c r="I43">
        <v>2812</v>
      </c>
      <c r="J43" t="s">
        <v>42</v>
      </c>
    </row>
    <row r="44" spans="1:10" x14ac:dyDescent="0.3">
      <c r="A44" t="s">
        <v>134</v>
      </c>
      <c r="B44" t="s">
        <v>135</v>
      </c>
      <c r="C44" t="s">
        <v>12</v>
      </c>
      <c r="D44">
        <v>38</v>
      </c>
      <c r="E44" t="s">
        <v>20</v>
      </c>
      <c r="F44" t="s">
        <v>25</v>
      </c>
      <c r="G44" t="s">
        <v>15</v>
      </c>
      <c r="H44" t="s">
        <v>22</v>
      </c>
      <c r="I44">
        <v>34014</v>
      </c>
      <c r="J44" t="s">
        <v>42</v>
      </c>
    </row>
    <row r="45" spans="1:10" x14ac:dyDescent="0.3">
      <c r="A45" t="s">
        <v>136</v>
      </c>
      <c r="B45" t="s">
        <v>38</v>
      </c>
      <c r="C45" t="s">
        <v>30</v>
      </c>
      <c r="D45">
        <v>16</v>
      </c>
      <c r="E45" t="s">
        <v>34</v>
      </c>
      <c r="F45" t="s">
        <v>40</v>
      </c>
      <c r="G45" t="s">
        <v>26</v>
      </c>
      <c r="H45" t="s">
        <v>55</v>
      </c>
      <c r="I45">
        <v>22409</v>
      </c>
      <c r="J45" t="s">
        <v>42</v>
      </c>
    </row>
    <row r="46" spans="1:10" x14ac:dyDescent="0.3">
      <c r="A46" t="s">
        <v>137</v>
      </c>
      <c r="B46" t="s">
        <v>138</v>
      </c>
      <c r="C46" t="s">
        <v>30</v>
      </c>
      <c r="D46">
        <v>49</v>
      </c>
      <c r="E46" t="s">
        <v>51</v>
      </c>
      <c r="F46" t="s">
        <v>48</v>
      </c>
      <c r="G46" t="s">
        <v>35</v>
      </c>
      <c r="H46" t="s">
        <v>27</v>
      </c>
      <c r="I46">
        <v>38954</v>
      </c>
      <c r="J46" t="s">
        <v>17</v>
      </c>
    </row>
    <row r="47" spans="1:10" x14ac:dyDescent="0.3">
      <c r="A47" t="s">
        <v>139</v>
      </c>
      <c r="B47" t="s">
        <v>73</v>
      </c>
      <c r="C47" t="s">
        <v>12</v>
      </c>
      <c r="D47">
        <v>31</v>
      </c>
      <c r="E47" t="s">
        <v>34</v>
      </c>
      <c r="F47" t="s">
        <v>40</v>
      </c>
      <c r="G47" t="s">
        <v>64</v>
      </c>
      <c r="H47" t="s">
        <v>58</v>
      </c>
      <c r="I47">
        <v>5035</v>
      </c>
      <c r="J47" t="s">
        <v>17</v>
      </c>
    </row>
    <row r="48" spans="1:10" x14ac:dyDescent="0.3">
      <c r="A48" t="s">
        <v>140</v>
      </c>
      <c r="B48" t="s">
        <v>141</v>
      </c>
      <c r="C48" t="s">
        <v>30</v>
      </c>
      <c r="D48">
        <v>29</v>
      </c>
      <c r="E48" t="s">
        <v>13</v>
      </c>
      <c r="F48" t="s">
        <v>21</v>
      </c>
      <c r="G48" t="s">
        <v>35</v>
      </c>
      <c r="H48" t="s">
        <v>142</v>
      </c>
      <c r="I48">
        <v>46052</v>
      </c>
      <c r="J48" t="s">
        <v>17</v>
      </c>
    </row>
    <row r="49" spans="1:10" x14ac:dyDescent="0.3">
      <c r="A49" t="s">
        <v>143</v>
      </c>
      <c r="B49" t="s">
        <v>57</v>
      </c>
      <c r="C49" t="s">
        <v>12</v>
      </c>
      <c r="D49">
        <v>28</v>
      </c>
      <c r="E49" t="s">
        <v>39</v>
      </c>
      <c r="F49" t="s">
        <v>40</v>
      </c>
      <c r="G49" t="s">
        <v>64</v>
      </c>
      <c r="H49" t="s">
        <v>79</v>
      </c>
      <c r="I49">
        <v>34405</v>
      </c>
      <c r="J49" t="s">
        <v>17</v>
      </c>
    </row>
    <row r="50" spans="1:10" x14ac:dyDescent="0.3">
      <c r="A50" t="s">
        <v>144</v>
      </c>
      <c r="B50" t="s">
        <v>145</v>
      </c>
      <c r="C50" t="s">
        <v>12</v>
      </c>
      <c r="D50">
        <v>56</v>
      </c>
      <c r="E50" t="s">
        <v>39</v>
      </c>
      <c r="F50" t="s">
        <v>14</v>
      </c>
      <c r="G50" t="s">
        <v>64</v>
      </c>
      <c r="H50" t="s">
        <v>146</v>
      </c>
      <c r="I50">
        <v>26472</v>
      </c>
      <c r="J50" t="s">
        <v>42</v>
      </c>
    </row>
    <row r="51" spans="1:10" x14ac:dyDescent="0.3">
      <c r="A51" t="s">
        <v>147</v>
      </c>
      <c r="B51" t="s">
        <v>148</v>
      </c>
      <c r="C51" t="s">
        <v>30</v>
      </c>
      <c r="D51">
        <v>61</v>
      </c>
      <c r="E51" t="s">
        <v>51</v>
      </c>
      <c r="F51" t="s">
        <v>48</v>
      </c>
      <c r="G51" t="s">
        <v>64</v>
      </c>
      <c r="H51" t="s">
        <v>142</v>
      </c>
      <c r="I51">
        <v>5249</v>
      </c>
      <c r="J51" t="s">
        <v>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C148-6EE8-4987-8507-3918613E26EA}">
  <dimension ref="B1:M21"/>
  <sheetViews>
    <sheetView workbookViewId="0">
      <selection activeCell="P18" sqref="P18"/>
    </sheetView>
  </sheetViews>
  <sheetFormatPr defaultRowHeight="14.4" x14ac:dyDescent="0.3"/>
  <cols>
    <col min="2" max="2" width="16.77734375" bestFit="1" customWidth="1"/>
    <col min="3" max="3" width="13.33203125" bestFit="1" customWidth="1"/>
    <col min="4" max="4" width="7.88671875" bestFit="1" customWidth="1"/>
    <col min="5" max="5" width="10.77734375" bestFit="1" customWidth="1"/>
    <col min="6" max="6" width="9.21875" customWidth="1"/>
    <col min="7" max="7" width="14.5546875" bestFit="1" customWidth="1"/>
    <col min="8" max="8" width="17.21875" bestFit="1" customWidth="1"/>
    <col min="9" max="9" width="4" bestFit="1" customWidth="1"/>
    <col min="10" max="10" width="7.21875" bestFit="1" customWidth="1"/>
    <col min="11" max="12" width="7.109375" bestFit="1" customWidth="1"/>
    <col min="13" max="13" width="10.77734375" bestFit="1" customWidth="1"/>
    <col min="14" max="14" width="11.44140625" bestFit="1" customWidth="1"/>
    <col min="15" max="15" width="4" bestFit="1" customWidth="1"/>
    <col min="16" max="16" width="7.21875" bestFit="1" customWidth="1"/>
    <col min="17" max="18" width="7.109375" bestFit="1" customWidth="1"/>
    <col min="19" max="19" width="14.21875" bestFit="1" customWidth="1"/>
    <col min="20" max="20" width="10.109375" bestFit="1" customWidth="1"/>
    <col min="21" max="21" width="7.21875" bestFit="1" customWidth="1"/>
    <col min="22" max="23" width="7.109375" bestFit="1" customWidth="1"/>
    <col min="24" max="24" width="12.77734375" bestFit="1" customWidth="1"/>
    <col min="25" max="25" width="12.33203125" bestFit="1" customWidth="1"/>
    <col min="26" max="26" width="7.21875" bestFit="1" customWidth="1"/>
    <col min="27" max="27" width="7.109375" bestFit="1" customWidth="1"/>
    <col min="28" max="28" width="15.109375" bestFit="1" customWidth="1"/>
    <col min="29" max="29" width="10.5546875" bestFit="1" customWidth="1"/>
    <col min="30" max="30" width="4" bestFit="1" customWidth="1"/>
    <col min="31" max="31" width="7.21875" bestFit="1" customWidth="1"/>
    <col min="32" max="33" width="7.109375" bestFit="1" customWidth="1"/>
    <col min="34" max="34" width="13.33203125" bestFit="1" customWidth="1"/>
    <col min="35" max="35" width="10.77734375" bestFit="1" customWidth="1"/>
    <col min="36" max="36" width="10.5546875" bestFit="1" customWidth="1"/>
    <col min="37" max="37" width="8.6640625" bestFit="1" customWidth="1"/>
    <col min="38" max="38" width="11.21875" bestFit="1" customWidth="1"/>
    <col min="39" max="39" width="9.21875" bestFit="1" customWidth="1"/>
    <col min="40" max="40" width="9.44140625" bestFit="1" customWidth="1"/>
    <col min="41" max="41" width="10.44140625" bestFit="1" customWidth="1"/>
    <col min="42" max="42" width="11.77734375" bestFit="1" customWidth="1"/>
    <col min="43" max="43" width="9.21875" bestFit="1" customWidth="1"/>
    <col min="44" max="44" width="9.88671875" bestFit="1" customWidth="1"/>
    <col min="45" max="45" width="10.88671875" bestFit="1" customWidth="1"/>
    <col min="46" max="46" width="10.109375" bestFit="1" customWidth="1"/>
    <col min="47" max="47" width="12.5546875" bestFit="1" customWidth="1"/>
    <col min="48" max="48" width="10.77734375" bestFit="1" customWidth="1"/>
  </cols>
  <sheetData>
    <row r="1" spans="2:13" x14ac:dyDescent="0.3">
      <c r="C1" s="2" t="s">
        <v>156</v>
      </c>
    </row>
    <row r="2" spans="2:13" x14ac:dyDescent="0.3">
      <c r="B2" s="2" t="s">
        <v>154</v>
      </c>
      <c r="C2" t="s">
        <v>42</v>
      </c>
      <c r="D2" t="s">
        <v>17</v>
      </c>
      <c r="E2" t="s">
        <v>155</v>
      </c>
      <c r="G2" s="2" t="s">
        <v>154</v>
      </c>
      <c r="H2" t="s">
        <v>161</v>
      </c>
    </row>
    <row r="3" spans="2:13" x14ac:dyDescent="0.3">
      <c r="B3" s="3" t="s">
        <v>21</v>
      </c>
      <c r="C3" s="4"/>
      <c r="D3" s="4"/>
      <c r="E3" s="4"/>
      <c r="G3" s="3" t="s">
        <v>12</v>
      </c>
      <c r="H3" s="4">
        <v>927</v>
      </c>
    </row>
    <row r="4" spans="2:13" x14ac:dyDescent="0.3">
      <c r="B4" s="5" t="s">
        <v>157</v>
      </c>
      <c r="C4" s="4">
        <v>6</v>
      </c>
      <c r="D4" s="4">
        <v>5</v>
      </c>
      <c r="E4" s="4">
        <v>11</v>
      </c>
      <c r="G4" s="3" t="s">
        <v>30</v>
      </c>
      <c r="H4" s="4">
        <v>1054</v>
      </c>
    </row>
    <row r="5" spans="2:13" x14ac:dyDescent="0.3">
      <c r="B5" s="5" t="s">
        <v>159</v>
      </c>
      <c r="C5" s="4">
        <v>122315</v>
      </c>
      <c r="D5" s="4">
        <v>137549</v>
      </c>
      <c r="E5" s="4">
        <v>259864</v>
      </c>
      <c r="G5" s="3" t="s">
        <v>155</v>
      </c>
      <c r="H5" s="4">
        <v>1981</v>
      </c>
    </row>
    <row r="6" spans="2:13" x14ac:dyDescent="0.3">
      <c r="B6" s="3" t="s">
        <v>14</v>
      </c>
      <c r="C6" s="4"/>
      <c r="D6" s="4"/>
      <c r="E6" s="4"/>
    </row>
    <row r="7" spans="2:13" x14ac:dyDescent="0.3">
      <c r="B7" s="5" t="s">
        <v>157</v>
      </c>
      <c r="C7" s="4">
        <v>3</v>
      </c>
      <c r="D7" s="4">
        <v>6</v>
      </c>
      <c r="E7" s="4">
        <v>9</v>
      </c>
    </row>
    <row r="8" spans="2:13" x14ac:dyDescent="0.3">
      <c r="B8" s="5" t="s">
        <v>159</v>
      </c>
      <c r="C8" s="4">
        <v>86081</v>
      </c>
      <c r="D8" s="4">
        <v>155592</v>
      </c>
      <c r="E8" s="4">
        <v>241673</v>
      </c>
    </row>
    <row r="9" spans="2:13" x14ac:dyDescent="0.3">
      <c r="B9" s="3" t="s">
        <v>25</v>
      </c>
      <c r="C9" s="4"/>
      <c r="D9" s="4"/>
      <c r="E9" s="4"/>
      <c r="G9" s="2" t="s">
        <v>162</v>
      </c>
      <c r="H9" s="2" t="s">
        <v>156</v>
      </c>
    </row>
    <row r="10" spans="2:13" x14ac:dyDescent="0.3">
      <c r="B10" s="5" t="s">
        <v>157</v>
      </c>
      <c r="C10" s="4">
        <v>6</v>
      </c>
      <c r="D10" s="4">
        <v>4</v>
      </c>
      <c r="E10" s="4">
        <v>10</v>
      </c>
      <c r="G10" s="2" t="s">
        <v>154</v>
      </c>
      <c r="H10" t="s">
        <v>39</v>
      </c>
      <c r="I10" t="s">
        <v>35</v>
      </c>
      <c r="J10" t="s">
        <v>64</v>
      </c>
      <c r="K10" t="s">
        <v>15</v>
      </c>
      <c r="L10" t="s">
        <v>26</v>
      </c>
      <c r="M10" s="6" t="s">
        <v>155</v>
      </c>
    </row>
    <row r="11" spans="2:13" x14ac:dyDescent="0.3">
      <c r="B11" s="5" t="s">
        <v>159</v>
      </c>
      <c r="C11" s="4">
        <v>189417</v>
      </c>
      <c r="D11" s="4">
        <v>164761</v>
      </c>
      <c r="E11" s="4">
        <v>354178</v>
      </c>
      <c r="G11" s="3" t="s">
        <v>21</v>
      </c>
      <c r="H11" s="4">
        <v>1</v>
      </c>
      <c r="I11" s="4">
        <v>5</v>
      </c>
      <c r="J11" s="4">
        <v>2</v>
      </c>
      <c r="K11" s="4">
        <v>2</v>
      </c>
      <c r="L11" s="4">
        <v>1</v>
      </c>
      <c r="M11" s="7">
        <v>11</v>
      </c>
    </row>
    <row r="12" spans="2:13" x14ac:dyDescent="0.3">
      <c r="B12" s="3" t="s">
        <v>48</v>
      </c>
      <c r="C12" s="4"/>
      <c r="D12" s="4"/>
      <c r="E12" s="4"/>
      <c r="G12" s="3" t="s">
        <v>14</v>
      </c>
      <c r="H12" s="4">
        <v>1</v>
      </c>
      <c r="I12" s="4">
        <v>1</v>
      </c>
      <c r="J12" s="4">
        <v>2</v>
      </c>
      <c r="K12" s="4">
        <v>3</v>
      </c>
      <c r="L12" s="4">
        <v>2</v>
      </c>
      <c r="M12" s="7">
        <v>9</v>
      </c>
    </row>
    <row r="13" spans="2:13" x14ac:dyDescent="0.3">
      <c r="B13" s="5" t="s">
        <v>157</v>
      </c>
      <c r="C13" s="4">
        <v>3</v>
      </c>
      <c r="D13" s="4">
        <v>3</v>
      </c>
      <c r="E13" s="4">
        <v>6</v>
      </c>
      <c r="G13" s="3" t="s">
        <v>25</v>
      </c>
      <c r="H13" s="4"/>
      <c r="I13" s="4">
        <v>3</v>
      </c>
      <c r="J13" s="4">
        <v>1</v>
      </c>
      <c r="K13" s="4">
        <v>3</v>
      </c>
      <c r="L13" s="4">
        <v>3</v>
      </c>
      <c r="M13" s="7">
        <v>10</v>
      </c>
    </row>
    <row r="14" spans="2:13" x14ac:dyDescent="0.3">
      <c r="B14" s="5" t="s">
        <v>159</v>
      </c>
      <c r="C14" s="4">
        <v>60239</v>
      </c>
      <c r="D14" s="4">
        <v>70792</v>
      </c>
      <c r="E14" s="4">
        <v>131031</v>
      </c>
      <c r="G14" s="3" t="s">
        <v>48</v>
      </c>
      <c r="H14" s="4"/>
      <c r="I14" s="4">
        <v>2</v>
      </c>
      <c r="J14" s="4">
        <v>2</v>
      </c>
      <c r="K14" s="4">
        <v>2</v>
      </c>
      <c r="L14" s="4"/>
      <c r="M14" s="7">
        <v>6</v>
      </c>
    </row>
    <row r="15" spans="2:13" x14ac:dyDescent="0.3">
      <c r="B15" s="3" t="s">
        <v>40</v>
      </c>
      <c r="C15" s="4"/>
      <c r="D15" s="4"/>
      <c r="E15" s="4"/>
      <c r="G15" s="3" t="s">
        <v>40</v>
      </c>
      <c r="H15" s="4">
        <v>2</v>
      </c>
      <c r="I15" s="4">
        <v>3</v>
      </c>
      <c r="J15" s="4">
        <v>2</v>
      </c>
      <c r="K15" s="4">
        <v>5</v>
      </c>
      <c r="L15" s="4">
        <v>2</v>
      </c>
      <c r="M15" s="7">
        <v>14</v>
      </c>
    </row>
    <row r="16" spans="2:13" x14ac:dyDescent="0.3">
      <c r="B16" s="5" t="s">
        <v>157</v>
      </c>
      <c r="C16" s="4">
        <v>6</v>
      </c>
      <c r="D16" s="4">
        <v>8</v>
      </c>
      <c r="E16" s="4">
        <v>14</v>
      </c>
      <c r="G16" s="3" t="s">
        <v>155</v>
      </c>
      <c r="H16" s="4">
        <v>4</v>
      </c>
      <c r="I16" s="4">
        <v>14</v>
      </c>
      <c r="J16" s="4">
        <v>9</v>
      </c>
      <c r="K16" s="4">
        <v>15</v>
      </c>
      <c r="L16" s="4">
        <v>8</v>
      </c>
      <c r="M16" s="7">
        <v>50</v>
      </c>
    </row>
    <row r="17" spans="2:8" x14ac:dyDescent="0.3">
      <c r="B17" s="5" t="s">
        <v>159</v>
      </c>
      <c r="C17" s="4">
        <v>170646</v>
      </c>
      <c r="D17" s="4">
        <v>163828</v>
      </c>
      <c r="E17" s="4">
        <v>334474</v>
      </c>
    </row>
    <row r="18" spans="2:8" x14ac:dyDescent="0.3">
      <c r="B18" s="3" t="s">
        <v>158</v>
      </c>
      <c r="C18" s="4">
        <v>24</v>
      </c>
      <c r="D18" s="4">
        <v>26</v>
      </c>
      <c r="E18" s="4">
        <v>50</v>
      </c>
      <c r="G18" s="2" t="s">
        <v>154</v>
      </c>
      <c r="H18" t="s">
        <v>163</v>
      </c>
    </row>
    <row r="19" spans="2:8" x14ac:dyDescent="0.3">
      <c r="B19" s="3" t="s">
        <v>160</v>
      </c>
      <c r="C19" s="4">
        <v>628698</v>
      </c>
      <c r="D19" s="4">
        <v>692522</v>
      </c>
      <c r="E19" s="4">
        <v>1321220</v>
      </c>
      <c r="G19" s="3" t="s">
        <v>42</v>
      </c>
      <c r="H19" s="4">
        <v>628698</v>
      </c>
    </row>
    <row r="20" spans="2:8" x14ac:dyDescent="0.3">
      <c r="G20" s="3" t="s">
        <v>17</v>
      </c>
      <c r="H20" s="4">
        <v>692522</v>
      </c>
    </row>
    <row r="21" spans="2:8" x14ac:dyDescent="0.3">
      <c r="G21" s="3" t="s">
        <v>155</v>
      </c>
      <c r="H21" s="4">
        <v>1321220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Hospital_Data</vt:lpstr>
      <vt:lpstr>Logical Functions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Kashish Bawankule</cp:lastModifiedBy>
  <dcterms:created xsi:type="dcterms:W3CDTF">2026-03-12T13:40:00Z</dcterms:created>
  <dcterms:modified xsi:type="dcterms:W3CDTF">2026-03-12T18:34:29Z</dcterms:modified>
</cp:coreProperties>
</file>